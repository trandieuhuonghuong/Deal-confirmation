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1805" firstSheet="7" activeTab="7"/>
  </bookViews>
  <sheets>
    <sheet name="客户基础数据" sheetId="3" state="hidden" r:id="rId1"/>
    <sheet name="三品订单" sheetId="5" state="hidden" r:id="rId2"/>
    <sheet name="越南文大写金额计算" sheetId="6" state="hidden" r:id="rId3"/>
    <sheet name="付款条款参考" sheetId="14" state="hidden" r:id="rId4"/>
    <sheet name="产品订单（暂不含工业物料，待更新物料编码及装运信息）" sheetId="2" r:id="rId5"/>
    <sheet name="客户地址信息汇总" sheetId="21" state="hidden" r:id="rId6"/>
    <sheet name="客户地址筛选" sheetId="22" state="hidden" r:id="rId7"/>
    <sheet name="成交确认书" sheetId="17" r:id="rId8"/>
    <sheet name="付款条款汇总" sheetId="23" state="hidden" r:id="rId9"/>
    <sheet name="付款条款筛选" sheetId="25" state="hidden" r:id="rId10"/>
    <sheet name="成交确认书-附录" sheetId="19" r:id="rId11"/>
    <sheet name="填写说明" sheetId="26" r:id="rId12"/>
  </sheets>
  <externalReferences>
    <externalReference r:id="rId17"/>
  </externalReferences>
  <definedNames>
    <definedName name="_xlnm._FilterDatabase" localSheetId="0" hidden="1">客户基础数据!$A$1:$AM$146</definedName>
    <definedName name="_xlnm._FilterDatabase" localSheetId="4" hidden="1">'产品订单（暂不含工业物料，待更新物料编码及装运信息）'!$A$10:$BB$142</definedName>
    <definedName name="_xlnm.Print_Area" localSheetId="10">'成交确认书-附录'!$C$1:$I$66</definedName>
    <definedName name="_xlnm.Print_Area" localSheetId="7">成交确认书!$B$1:$G$170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骆麒富</author>
  </authors>
  <commentList>
    <comment ref="B2" authorId="0">
      <text>
        <r>
          <rPr>
            <sz val="9"/>
            <rFont val="Tahoma"/>
            <charset val="134"/>
          </rPr>
          <t>Chuyển về 13 chữ số</t>
        </r>
      </text>
    </comment>
  </commentList>
</comments>
</file>

<file path=xl/comments2.xml><?xml version="1.0" encoding="utf-8"?>
<comments xmlns="http://schemas.openxmlformats.org/spreadsheetml/2006/main">
  <authors>
    <author>骆麒富</author>
  </authors>
  <commentList>
    <comment ref="F1" authorId="0">
      <text>
        <r>
          <rPr>
            <b/>
            <sz val="9"/>
            <rFont val="宋体"/>
            <charset val="134"/>
          </rPr>
          <t xml:space="preserve">示例：
</t>
        </r>
        <r>
          <rPr>
            <b/>
            <sz val="9"/>
            <rFont val="Tahoma"/>
            <charset val="134"/>
          </rPr>
          <t xml:space="preserve">2*20'
1*40'
</t>
        </r>
        <r>
          <rPr>
            <b/>
            <sz val="9"/>
            <rFont val="宋体"/>
            <charset val="134"/>
          </rPr>
          <t>整车发运</t>
        </r>
      </text>
    </comment>
    <comment ref="F2" authorId="0">
      <text>
        <r>
          <rPr>
            <b/>
            <sz val="9"/>
            <rFont val="宋体"/>
            <charset val="134"/>
          </rPr>
          <t>由出口营运室提供</t>
        </r>
      </text>
    </comment>
    <comment ref="F3" authorId="0">
      <text>
        <r>
          <rPr>
            <b/>
            <sz val="9"/>
            <rFont val="宋体"/>
            <charset val="134"/>
          </rPr>
          <t xml:space="preserve">示例：
</t>
        </r>
        <r>
          <rPr>
            <b/>
            <sz val="9"/>
            <rFont val="Tahoma"/>
            <charset val="134"/>
          </rPr>
          <t>2020/12/31</t>
        </r>
      </text>
    </comment>
    <comment ref="F6" authorId="0">
      <text>
        <r>
          <rPr>
            <b/>
            <sz val="9"/>
            <rFont val="宋体"/>
            <charset val="134"/>
          </rPr>
          <t>港口</t>
        </r>
        <r>
          <rPr>
            <b/>
            <sz val="9"/>
            <rFont val="Tahoma"/>
            <charset val="134"/>
          </rPr>
          <t xml:space="preserve">+ </t>
        </r>
        <r>
          <rPr>
            <b/>
            <sz val="9"/>
            <rFont val="宋体"/>
            <charset val="134"/>
          </rPr>
          <t xml:space="preserve">国家
示例：
</t>
        </r>
        <r>
          <rPr>
            <b/>
            <sz val="9"/>
            <rFont val="Tahoma"/>
            <charset val="134"/>
          </rPr>
          <t>INCHON, KOREA</t>
        </r>
      </text>
    </comment>
    <comment ref="G33" authorId="0">
      <text>
        <r>
          <rPr>
            <b/>
            <sz val="9"/>
            <rFont val="宋体"/>
            <charset val="134"/>
          </rPr>
          <t>PET</t>
        </r>
      </text>
    </comment>
    <comment ref="K96" authorId="0">
      <text>
        <r>
          <rPr>
            <sz val="9"/>
            <rFont val="宋体"/>
            <charset val="134"/>
          </rPr>
          <t>未引入</t>
        </r>
      </text>
    </comment>
    <comment ref="K111" authorId="0">
      <text>
        <r>
          <rPr>
            <b/>
            <sz val="9"/>
            <rFont val="宋体"/>
            <charset val="134"/>
          </rPr>
          <t>luoqf:</t>
        </r>
        <r>
          <rPr>
            <sz val="9"/>
            <rFont val="宋体"/>
            <charset val="134"/>
          </rPr>
          <t xml:space="preserve">
一级经销商价格待更新</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<sst xmlns="http://schemas.openxmlformats.org/spreadsheetml/2006/main" count="4401" uniqueCount="2133">
  <si>
    <t>序号</t>
  </si>
  <si>
    <t>客户编号</t>
  </si>
  <si>
    <t>中文名称</t>
  </si>
  <si>
    <t>越南名称</t>
  </si>
  <si>
    <t>英文名称</t>
  </si>
  <si>
    <t>简称</t>
  </si>
  <si>
    <t>税号</t>
  </si>
  <si>
    <r>
      <rPr>
        <sz val="11"/>
        <rFont val="宋体"/>
        <charset val="134"/>
      </rPr>
      <t>公司地址</t>
    </r>
    <r>
      <rPr>
        <sz val="11"/>
        <rFont val="Times New Roman"/>
        <charset val="134"/>
      </rPr>
      <t>(VN)</t>
    </r>
  </si>
  <si>
    <t>公司电话</t>
  </si>
  <si>
    <t>Người đại diện theo pháp luật:</t>
  </si>
  <si>
    <t>公司法人代表（中文）</t>
  </si>
  <si>
    <t>Chức vụ:</t>
  </si>
  <si>
    <t>代表职位（中文）</t>
  </si>
  <si>
    <t>仓库地址</t>
  </si>
  <si>
    <t>仓库联系人</t>
  </si>
  <si>
    <t>联系方式</t>
  </si>
  <si>
    <r>
      <rPr>
        <sz val="11"/>
        <color rgb="FF000000"/>
        <rFont val="宋体"/>
        <charset val="134"/>
      </rPr>
      <t>港口</t>
    </r>
    <r>
      <rPr>
        <sz val="11"/>
        <color rgb="FF000000"/>
        <rFont val="Times New Roman"/>
        <charset val="134"/>
      </rPr>
      <t>/</t>
    </r>
    <r>
      <rPr>
        <sz val="11"/>
        <color rgb="FF000000"/>
        <rFont val="宋体"/>
        <charset val="134"/>
      </rPr>
      <t>关口</t>
    </r>
  </si>
  <si>
    <t>送货时间</t>
  </si>
  <si>
    <t>运输问题</t>
  </si>
  <si>
    <t>财务联系人</t>
  </si>
  <si>
    <t>财务联系方式</t>
  </si>
  <si>
    <t>邮箱</t>
  </si>
  <si>
    <t>银行</t>
  </si>
  <si>
    <t>银行账号</t>
  </si>
  <si>
    <t>海天销售</t>
  </si>
  <si>
    <t>其他</t>
  </si>
  <si>
    <t>快递</t>
  </si>
  <si>
    <t>中文翻译地址</t>
  </si>
  <si>
    <t>备注</t>
  </si>
  <si>
    <t>经销商协议付款条款</t>
  </si>
  <si>
    <t>越南俊芳进出口销售贸易公司</t>
  </si>
  <si>
    <t>CÔNG TY TNHH THƯƠNG MẠI XUẤT NHẬP KHẨU TUẤN PHƯƠNG</t>
  </si>
  <si>
    <t>CONG TY TNHH THUONG MAI XUAT NHAP KHAU TUAN PHUONG</t>
  </si>
  <si>
    <t>俊芳</t>
  </si>
  <si>
    <t>0108272471</t>
  </si>
  <si>
    <t>Số 77 Phố Hàm Tử Quan, Phường Phúc Tân, Quận Hoàn Kiếm, Thành phố Hà Nội, Việt Nam</t>
  </si>
  <si>
    <t>984968999</t>
  </si>
  <si>
    <t>Bùi Tuyết Chinh</t>
  </si>
  <si>
    <t>Bui Tuyet Chinh</t>
  </si>
  <si>
    <t>GIÁM ĐỐC</t>
  </si>
  <si>
    <t>经理</t>
  </si>
  <si>
    <t>Khu khả lễ.phường võ cường. Thành phố bắc ninh</t>
  </si>
  <si>
    <t>Anh Thành Tuấn Phương</t>
  </si>
  <si>
    <t>098 4968999</t>
  </si>
  <si>
    <r>
      <rPr>
        <sz val="11"/>
        <color rgb="FF000000"/>
        <rFont val="Times New Roman"/>
        <charset val="134"/>
      </rPr>
      <t>CHI MA, LANG SON</t>
    </r>
    <r>
      <rPr>
        <sz val="11"/>
        <color rgb="FF000000"/>
        <rFont val="宋体"/>
        <charset val="134"/>
      </rPr>
      <t>，</t>
    </r>
    <r>
      <rPr>
        <sz val="11"/>
        <color rgb="FF000000"/>
        <rFont val="Times New Roman"/>
        <charset val="134"/>
      </rPr>
      <t>VIETNAM/HAIPHONG ,VIETNAM</t>
    </r>
  </si>
  <si>
    <r>
      <rPr>
        <sz val="11"/>
        <color rgb="FF000000"/>
        <rFont val="宋体"/>
        <charset val="134"/>
      </rPr>
      <t>每天晚上</t>
    </r>
    <r>
      <rPr>
        <sz val="11"/>
        <color rgb="FF000000"/>
        <rFont val="Times New Roman"/>
        <charset val="134"/>
      </rPr>
      <t>10</t>
    </r>
    <r>
      <rPr>
        <sz val="11"/>
        <color rgb="FF000000"/>
        <rFont val="宋体"/>
        <charset val="134"/>
      </rPr>
      <t>点</t>
    </r>
  </si>
  <si>
    <r>
      <rPr>
        <sz val="11"/>
        <color rgb="FF000000"/>
        <rFont val="Times New Roman"/>
        <charset val="134"/>
      </rPr>
      <t>Ngân hàng TMCP Kỹ thương Việt Nam</t>
    </r>
    <r>
      <rPr>
        <sz val="11"/>
        <color rgb="FF000000"/>
        <rFont val="宋体"/>
        <charset val="134"/>
      </rPr>
      <t>（</t>
    </r>
    <r>
      <rPr>
        <sz val="11"/>
        <color rgb="FF000000"/>
        <rFont val="Times New Roman"/>
        <charset val="134"/>
      </rPr>
      <t>Techcombank )</t>
    </r>
  </si>
  <si>
    <r>
      <rPr>
        <sz val="11"/>
        <color rgb="FF000000"/>
        <rFont val="宋体"/>
        <charset val="134"/>
      </rPr>
      <t>越南科技商业股份银行（</t>
    </r>
    <r>
      <rPr>
        <sz val="11"/>
        <color rgb="FF000000"/>
        <rFont val="Times New Roman"/>
        <charset val="134"/>
      </rPr>
      <t>Techcombank )</t>
    </r>
  </si>
  <si>
    <t>1903720864017</t>
  </si>
  <si>
    <t>郑明黄</t>
  </si>
  <si>
    <r>
      <rPr>
        <sz val="11"/>
        <color rgb="FF000000"/>
        <rFont val="Times New Roman"/>
        <charset val="134"/>
      </rPr>
      <t>098 4968999</t>
    </r>
    <r>
      <rPr>
        <sz val="11"/>
        <color rgb="FF000000"/>
        <rFont val="宋体"/>
        <charset val="134"/>
      </rPr>
      <t>，</t>
    </r>
    <r>
      <rPr>
        <sz val="11"/>
        <color rgb="FF000000"/>
        <rFont val="Times New Roman"/>
        <charset val="134"/>
      </rPr>
      <t xml:space="preserve"> a Thành </t>
    </r>
    <r>
      <rPr>
        <sz val="11"/>
        <color rgb="FF000000"/>
        <rFont val="宋体"/>
        <charset val="134"/>
      </rPr>
      <t>，</t>
    </r>
    <r>
      <rPr>
        <sz val="11"/>
        <color rgb="FF000000"/>
        <rFont val="Times New Roman"/>
        <charset val="134"/>
      </rPr>
      <t>1138 nguyễn khoái. Lĩnh nam. Hoàng mai.</t>
    </r>
  </si>
  <si>
    <t>越南河内市还剑郡福新坊咸子关街77号</t>
  </si>
  <si>
    <t>不作为一级经销商合作。Không hợp tác với tư cách nhà phân phối cấp 1.</t>
  </si>
  <si>
    <t>越南平明果蔬有限公司</t>
  </si>
  <si>
    <t>CÔNG TY TNHH RAU QUẢ BÌNH MINH VIỆT NAM</t>
  </si>
  <si>
    <t>CONG TY TNHH RAU QUA BINH MINH VIET NAM</t>
  </si>
  <si>
    <t>黎明水果</t>
  </si>
  <si>
    <t>0201640232</t>
  </si>
  <si>
    <t>Tờ bản đồ số 15, Tổ dân phố Hạ, Phường An Hưng, Quận Hồng Bàng, Thành phố Hải Phòng, Việt Nam</t>
  </si>
  <si>
    <t>0225.3528323</t>
  </si>
  <si>
    <t>Ông NGUYỄN THÀNH TRUNG</t>
  </si>
  <si>
    <t>NGUYEN THANH TRUNG</t>
  </si>
  <si>
    <t>Tờ bản đồ số 15, Thôn Hạ, Xã An Hưng, Huyện An Dương, Thành phố Hải Phòng, Việt Nam</t>
  </si>
  <si>
    <t xml:space="preserve"> Anh Trung</t>
  </si>
  <si>
    <t>090 4288089</t>
  </si>
  <si>
    <t>HAIPHONG ,VIETNAM</t>
  </si>
  <si>
    <t>经常</t>
  </si>
  <si>
    <t>rauquabinhminhvietnam@gmail.com</t>
  </si>
  <si>
    <t>Vietcombank - chi nhánh Nam Hải Phòng</t>
  </si>
  <si>
    <r>
      <rPr>
        <sz val="11"/>
        <color rgb="FF000000"/>
        <rFont val="宋体"/>
        <charset val="134"/>
      </rPr>
      <t>越南商业银行</t>
    </r>
    <r>
      <rPr>
        <sz val="11"/>
        <color rgb="FF000000"/>
        <rFont val="Times New Roman"/>
        <charset val="134"/>
      </rPr>
      <t xml:space="preserve"> - </t>
    </r>
    <r>
      <rPr>
        <sz val="11"/>
        <color rgb="FF000000"/>
        <rFont val="宋体"/>
        <charset val="134"/>
      </rPr>
      <t>南海防分行</t>
    </r>
  </si>
  <si>
    <t>1031 000 000 456</t>
  </si>
  <si>
    <r>
      <rPr>
        <sz val="11"/>
        <color rgb="FF000000"/>
        <rFont val="Times New Roman"/>
        <charset val="134"/>
      </rPr>
      <t xml:space="preserve">090 4288089 </t>
    </r>
    <r>
      <rPr>
        <sz val="11"/>
        <color rgb="FF000000"/>
        <rFont val="宋体"/>
        <charset val="134"/>
      </rPr>
      <t>，</t>
    </r>
    <r>
      <rPr>
        <sz val="11"/>
        <color rgb="FF000000"/>
        <rFont val="Times New Roman"/>
        <charset val="134"/>
      </rPr>
      <t xml:space="preserve">a Trung </t>
    </r>
    <r>
      <rPr>
        <sz val="11"/>
        <color rgb="FF000000"/>
        <rFont val="宋体"/>
        <charset val="134"/>
      </rPr>
      <t>，</t>
    </r>
    <r>
      <rPr>
        <sz val="11"/>
        <color rgb="FF000000"/>
        <rFont val="Times New Roman"/>
        <charset val="134"/>
      </rPr>
      <t xml:space="preserve"> tờ bản đồ số 15, thôn Hạ, xã An Hưng, huyện An Dương, thành phố Hải Phòng.</t>
    </r>
  </si>
  <si>
    <t>越南海防市鸿庞郡安兴坊下居民组第15号地图块</t>
  </si>
  <si>
    <t>越南黄天发贸易有限公司</t>
  </si>
  <si>
    <t>CÔNG TY TNHH THƯƠNG MẠI HOÀNG THIÊN PHÁT</t>
  </si>
  <si>
    <t>CONG TY TNHH THUONG MAI HOANG THIEN PHAT</t>
  </si>
  <si>
    <t>黄天发</t>
  </si>
  <si>
    <t>0316353410</t>
  </si>
  <si>
    <t>387 Phan Văn Trị, Phường Bình Lợi Trung, TP Hồ Chí Minh, Việt Nam.</t>
  </si>
  <si>
    <t>0939368123</t>
  </si>
  <si>
    <t>TRAN MINH HOANG</t>
  </si>
  <si>
    <t>陈明黄</t>
  </si>
  <si>
    <t>TỔNG GIÁM ĐỐC</t>
  </si>
  <si>
    <t>总经理</t>
  </si>
  <si>
    <r>
      <rPr>
        <sz val="11"/>
        <color rgb="FF000000"/>
        <rFont val="Times New Roman"/>
        <charset val="134"/>
      </rPr>
      <t>189 nguyễn oanh p10 gò vấp</t>
    </r>
    <r>
      <rPr>
        <sz val="11"/>
        <color rgb="FF000000"/>
        <rFont val="宋体"/>
        <charset val="134"/>
      </rPr>
      <t>，</t>
    </r>
    <r>
      <rPr>
        <sz val="11"/>
        <color rgb="FF000000"/>
        <rFont val="Times New Roman"/>
        <charset val="134"/>
      </rPr>
      <t xml:space="preserve"> hcmc</t>
    </r>
  </si>
  <si>
    <t>Hoàng</t>
  </si>
  <si>
    <t>CAT LAI PORT ,HO CHI MINH,VIETNAM</t>
  </si>
  <si>
    <r>
      <rPr>
        <sz val="11"/>
        <color rgb="FF000000"/>
        <rFont val="宋体"/>
        <charset val="134"/>
      </rPr>
      <t>军区附近，每天晚上</t>
    </r>
    <r>
      <rPr>
        <sz val="11"/>
        <color rgb="FF000000"/>
        <rFont val="Times New Roman"/>
        <charset val="134"/>
      </rPr>
      <t>10</t>
    </r>
    <r>
      <rPr>
        <sz val="11"/>
        <color rgb="FF000000"/>
        <rFont val="宋体"/>
        <charset val="134"/>
      </rPr>
      <t>点</t>
    </r>
  </si>
  <si>
    <t>仓库与卸货点较远</t>
  </si>
  <si>
    <t>Chị Liễu</t>
  </si>
  <si>
    <r>
      <rPr>
        <u/>
        <sz val="11"/>
        <color rgb="FF175CEB"/>
        <rFont val="Times New Roman"/>
        <charset val="134"/>
      </rPr>
      <t>Hoangthienphat368@gmail.com</t>
    </r>
  </si>
  <si>
    <t>Ngân hàng TMCP Á Châu (ACB)</t>
  </si>
  <si>
    <r>
      <rPr>
        <sz val="11"/>
        <color rgb="FF000000"/>
        <rFont val="宋体"/>
        <charset val="134"/>
      </rPr>
      <t>亚洲贸易股份银行（</t>
    </r>
    <r>
      <rPr>
        <sz val="11"/>
        <color rgb="FF000000"/>
        <rFont val="Times New Roman"/>
        <charset val="134"/>
      </rPr>
      <t>ACB)</t>
    </r>
  </si>
  <si>
    <t>1363638888</t>
  </si>
  <si>
    <t>朱建君</t>
  </si>
  <si>
    <t>越南胡志明市平盛郡潘文治路387号</t>
  </si>
  <si>
    <t>订单生效之日起3个工作日内，乙方应支付订单金额的【50】%作为预付款；自产品到达越南目的港/站后3个工作日内，乙方应支付订单金额剩余的全部款项。甲方将在收到订单100%款项后送货到乙方指定的收货地点。
Trong vòng 03 ngày làm việc kể từ ngày đơn hàng có hiệu lực, Bên Mua phải thanh toán 【50】%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</si>
  <si>
    <t>越南谅山龙霞一成员有限公司</t>
  </si>
  <si>
    <t>CÔNG TY TNHH MTV XUẤT NHẬP KHẨU HƯƠNG THỊNH LS</t>
  </si>
  <si>
    <t>CONG TY TNHH MTV XUAT NHAP KHAU HUONG THINH LS</t>
  </si>
  <si>
    <t>龙霞</t>
  </si>
  <si>
    <t>4900905841</t>
  </si>
  <si>
    <t>Số 132 đường Trần Phú, Phường Kỳ Lừa, Tỉnh Lạng Sơn, Việt Nam.</t>
  </si>
  <si>
    <t>0357584099</t>
  </si>
  <si>
    <t>Đỗ Thị Kim Anh</t>
  </si>
  <si>
    <t>Do Thi Kim Anh</t>
  </si>
  <si>
    <t>132 đường Trần Phú thành phố Lạng Sơn</t>
  </si>
  <si>
    <t>Anh Long</t>
  </si>
  <si>
    <t>HUU NGHI, LANG SON ,VIETNAM</t>
  </si>
  <si>
    <t>dothikimanh2801@gmail.com</t>
  </si>
  <si>
    <t>Ngân hàng Sài Gòn Thương Tín (STB)</t>
  </si>
  <si>
    <t>越南西贡商业银行</t>
  </si>
  <si>
    <t>30093866491</t>
  </si>
  <si>
    <t>阮文忠</t>
  </si>
  <si>
    <t>越南谅山省谅山市奇劳坊陈富路132号</t>
  </si>
  <si>
    <t>越南食品进出口服务贸易有限公司</t>
  </si>
  <si>
    <t>CÔNG TY TNHH THƯƠNG MẠI DỊCH VỤ XUẤT NHẬP KHẨU VIỆT FOODS</t>
  </si>
  <si>
    <t>CONG TY TNHH THUONG MAI DICH VU XUAT NHAP KHAU VIET FOODS</t>
  </si>
  <si>
    <t>新俊芳</t>
  </si>
  <si>
    <t>0110615246</t>
  </si>
  <si>
    <t>Thôn Đông Trạch, Xã Nam Phù, TP Hà Nội, Việt Nam.</t>
  </si>
  <si>
    <t>0966506434</t>
  </si>
  <si>
    <t>Nguyễn Đức Thành</t>
  </si>
  <si>
    <t>Nguyen Duc Thanh</t>
  </si>
  <si>
    <r>
      <rPr>
        <sz val="11"/>
        <color rgb="FF000000"/>
        <rFont val="宋体"/>
        <charset val="134"/>
      </rPr>
      <t>每天晚上</t>
    </r>
    <r>
      <rPr>
        <sz val="11"/>
        <color rgb="FF000000"/>
        <rFont val="Times New Roman"/>
        <charset val="134"/>
      </rPr>
      <t>10</t>
    </r>
    <r>
      <rPr>
        <sz val="11"/>
        <color rgb="FF000000"/>
        <rFont val="宋体"/>
        <charset val="134"/>
      </rPr>
      <t>点</t>
    </r>
    <r>
      <rPr>
        <sz val="11"/>
        <color rgb="FF000000"/>
        <rFont val="Times New Roman"/>
        <charset val="134"/>
      </rPr>
      <t xml:space="preserve">
0363333888-Binh - Kho hàng</t>
    </r>
  </si>
  <si>
    <t>congtyvietfood68@gmail.com</t>
  </si>
  <si>
    <t>Ngân hàng TMCP Đầu tư và Phát triển Việt Nam (BIDV)</t>
  </si>
  <si>
    <r>
      <rPr>
        <sz val="11"/>
        <color rgb="FF000000"/>
        <rFont val="宋体"/>
        <charset val="134"/>
      </rPr>
      <t>越南投资和发展股份制商业银行（</t>
    </r>
    <r>
      <rPr>
        <sz val="11"/>
        <color rgb="FF000000"/>
        <rFont val="Times New Roman"/>
        <charset val="134"/>
      </rPr>
      <t>BIDV</t>
    </r>
    <r>
      <rPr>
        <sz val="11"/>
        <color rgb="FF000000"/>
        <rFont val="宋体"/>
        <charset val="134"/>
      </rPr>
      <t>）</t>
    </r>
  </si>
  <si>
    <t>8600022041</t>
  </si>
  <si>
    <t>越南河内市南扶乡东泽村</t>
  </si>
  <si>
    <t>越南阮氏娇庄</t>
  </si>
  <si>
    <t>NGUYỄN THỊ KIỀU TRANG</t>
  </si>
  <si>
    <t>NGUYEN THI KIEU TRANG</t>
  </si>
  <si>
    <t>阮氏娇庄</t>
  </si>
  <si>
    <t>8712031066-001</t>
  </si>
  <si>
    <t>Số 77, Nguyễn Tất Thành, Phường Khai Quang, Thành phố Vĩnh Yên, Tỉnh Vĩnh Phúc, Việt Nam</t>
  </si>
  <si>
    <t>0365634443</t>
  </si>
  <si>
    <t>Nguyễn Thị Kiều Trang</t>
  </si>
  <si>
    <t>Nguyen Thi Kieu Trang</t>
  </si>
  <si>
    <t>77 Nguyễn Tất Thành, P. Khai Quang, TP Vĩnh Yên, tỉnh Vĩnh Phúc</t>
  </si>
  <si>
    <t>Ngân hàng Teckcombank -NGUYEN THI KIEU TRANG</t>
  </si>
  <si>
    <t>9036821692011</t>
  </si>
  <si>
    <t>永福</t>
  </si>
  <si>
    <t>越南永福省永安市开光坊阮必成路77号</t>
  </si>
  <si>
    <t>越南武德贵</t>
  </si>
  <si>
    <t>VŨ ĐỨC QUÝ</t>
  </si>
  <si>
    <t>VU DUC QUY</t>
  </si>
  <si>
    <t>武德贵</t>
  </si>
  <si>
    <t>Ngõ 276, khối 1 , Vĩnh Tân , thành phố Vinh, Nghệ An</t>
  </si>
  <si>
    <t>0968416361</t>
  </si>
  <si>
    <t>Khối 1 (nhà ông Nguyễn Văn Hưng, thửa đất số 668, tờ bản đồ số 06) phường Vinh Tân, thành phố Vinh, tỉnh Nghệ An</t>
  </si>
  <si>
    <t>Vietcombank trự sở CN Nghệ An</t>
  </si>
  <si>
    <r>
      <rPr>
        <sz val="11"/>
        <color rgb="FF000000"/>
        <rFont val="宋体"/>
        <charset val="134"/>
      </rPr>
      <t>越南商业银行</t>
    </r>
    <r>
      <rPr>
        <sz val="11"/>
        <color rgb="FF000000"/>
        <rFont val="Times New Roman"/>
        <charset val="134"/>
      </rPr>
      <t xml:space="preserve"> - </t>
    </r>
    <r>
      <rPr>
        <sz val="11"/>
        <color rgb="FF000000"/>
        <rFont val="宋体"/>
        <charset val="134"/>
      </rPr>
      <t>乂安分行</t>
    </r>
  </si>
  <si>
    <t>0101001169857 / Nguyễn Thị Nguyệt</t>
  </si>
  <si>
    <t>义安</t>
  </si>
  <si>
    <t>越南乂安省荣市永新坊第1街区276号巷</t>
  </si>
  <si>
    <t>越南天龙发有限公司</t>
  </si>
  <si>
    <t>CÔNG TY TNHH THIÊN LONG PHÁT VN</t>
  </si>
  <si>
    <t>CONG TY TNHH THIEN LONG PHAT VN</t>
  </si>
  <si>
    <t>天龙发</t>
  </si>
  <si>
    <t>3703171766</t>
  </si>
  <si>
    <t>Số 170A, Đường Số 1, Khu 2, Phường Hoà Phú, Thành phố Thủ Dầu Một, Tỉnh Bình Dương, Việt Nam</t>
  </si>
  <si>
    <t>0373098579</t>
  </si>
  <si>
    <t>Lê Mộng Kha</t>
  </si>
  <si>
    <t>黎梦珂</t>
  </si>
  <si>
    <t>VSIP2 Đường D4, Tổ 1, KP1, Vĩnh Tân, Tân Uyên, Bình Dương</t>
  </si>
  <si>
    <t>Ngân hàng TMCP công thương Việt Nam,Chi nhánh KCN Bình Dương</t>
  </si>
  <si>
    <t>越南工商银行平阳工业区分行</t>
  </si>
  <si>
    <t>111002958480</t>
  </si>
  <si>
    <t>越南平阳省土龙木市和富坊第2区1号路170A号</t>
  </si>
  <si>
    <t>越南青青有限责任公司</t>
  </si>
  <si>
    <t>CÔNG TY TNHH KINH DOANH THƯƠNG MẠI THANH THANH</t>
  </si>
  <si>
    <t>CONG TY TNHH KINH DOANH THUONG MAI THANH THANH</t>
  </si>
  <si>
    <t>青青</t>
  </si>
  <si>
    <t>4900891726</t>
  </si>
  <si>
    <t>Số 164, đường Hoàng Văn Thụ, khu Lò Rèn, Thị trấn Đồng Đăng, Huyện Cao Lộc, Tỉnh Lạng Sơn, Việt Nam</t>
  </si>
  <si>
    <t>Hà Thị Thanh</t>
  </si>
  <si>
    <t>Ha Thi Thanh</t>
  </si>
  <si>
    <t>‘0352139888</t>
  </si>
  <si>
    <t>Ngân Hàng TMCP Công Thương Việt Nam (Vietinbank)</t>
  </si>
  <si>
    <t>越南工商银行</t>
  </si>
  <si>
    <t>115604323999</t>
  </si>
  <si>
    <t>越南谅山省高禄县同登市镇炉炼区黄文树路164号</t>
  </si>
  <si>
    <r>
      <rPr>
        <sz val="11"/>
        <color rgb="FF000000"/>
        <rFont val="宋体"/>
        <charset val="134"/>
      </rPr>
      <t>越南味丹股份有限公司（总部</t>
    </r>
    <r>
      <rPr>
        <sz val="11"/>
        <color rgb="FF000000"/>
        <rFont val="Times New Roman"/>
        <charset val="134"/>
      </rPr>
      <t>-</t>
    </r>
    <r>
      <rPr>
        <sz val="11"/>
        <color rgb="FF000000"/>
        <rFont val="宋体"/>
        <charset val="134"/>
      </rPr>
      <t>总仓）</t>
    </r>
  </si>
  <si>
    <t>CÔNG TY CỔ PHẦN HỮU HẠN VEDAN VIỆT NAM</t>
  </si>
  <si>
    <t>CONG TY CO PHAN HUU HAN VEDAN VIET NAM</t>
  </si>
  <si>
    <t>味丹</t>
  </si>
  <si>
    <t>3600239719</t>
  </si>
  <si>
    <t>Quốc lộ 51, Ấp 1A, Xã Phước Thái, Đồng Nai, Việt Nam.</t>
  </si>
  <si>
    <t>TANG DAW SEN</t>
  </si>
  <si>
    <t>Quốc lộ 51, Ấp 1A, Xã Phước Thái, Huyện Long Thành, Tỉnh Đồng Nai, Việt Nam.</t>
  </si>
  <si>
    <t>huyen-tt@vedaninternational.com</t>
  </si>
  <si>
    <t>越南同奈省福泰乡1A邑51号国道</t>
  </si>
  <si>
    <t>订单生效之日起14个工作日内，乙方应支付订单金额的【100】%作为预付款；自产品到达越南目的港/站后3个工作日内，乙方应支付订单金额剩余的全部款项。甲方将在收到订单100%款项后送货到乙方指定的收货地点。
Trong vòng 14 ngày làm việc kể từ ngày đơn hàng có hiệu lực, Bên Mua phải thanh toán 【100】%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</si>
  <si>
    <t>越南智越发贸易服务及生产有限公司</t>
  </si>
  <si>
    <t>CÔNG TY TNHH THƯƠNG MẠI DỊCH VỤ VÀ SẢN XUẤT TRÍ VIỆT PHÁT</t>
  </si>
  <si>
    <t>CONG TY TNHH THUONG MAI DICH VU VA SAN XUAT TRI VIET PHAT</t>
  </si>
  <si>
    <t>智越发</t>
  </si>
  <si>
    <t>0312096843</t>
  </si>
  <si>
    <t>Số 81 Đường Tân Hòa 2, Khu phố 24, Phường Tăng Nhơn Phú, TP Hồ Chí Minh, Việt Nam.</t>
  </si>
  <si>
    <t>NGUYỄN THỊ VÂN ANH</t>
  </si>
  <si>
    <t>NGUYEN THI VAN ANH</t>
  </si>
  <si>
    <t>178 Đường Long Thuận, Long Phước, TP Thủ Đức, HCM (quận 9 cũ)</t>
  </si>
  <si>
    <t>Mr. Tân</t>
  </si>
  <si>
    <t>0977905020 (kho)</t>
  </si>
  <si>
    <t>BIDV-Ngân hàng Thương mại cổ phần Đầu tư và Phát triển Việt Nam- Chi nhánh Đong Sài Gòn</t>
  </si>
  <si>
    <r>
      <rPr>
        <sz val="11"/>
        <color rgb="FF000000"/>
        <rFont val="宋体"/>
        <charset val="134"/>
      </rPr>
      <t>越南投资和发展股份制商业银行（</t>
    </r>
    <r>
      <rPr>
        <sz val="11"/>
        <color rgb="FF000000"/>
        <rFont val="Times New Roman"/>
        <charset val="134"/>
      </rPr>
      <t>BIDV</t>
    </r>
    <r>
      <rPr>
        <sz val="11"/>
        <color rgb="FF000000"/>
        <rFont val="宋体"/>
        <charset val="134"/>
      </rPr>
      <t>）</t>
    </r>
    <r>
      <rPr>
        <sz val="11"/>
        <color rgb="FF000000"/>
        <rFont val="Times New Roman"/>
        <charset val="134"/>
      </rPr>
      <t>-</t>
    </r>
    <r>
      <rPr>
        <sz val="11"/>
        <color rgb="FF000000"/>
        <rFont val="宋体"/>
        <charset val="134"/>
      </rPr>
      <t>东西贡分行</t>
    </r>
  </si>
  <si>
    <t>3141324180</t>
  </si>
  <si>
    <t>越南胡志明市增仁富坊24街区新和2路81号</t>
  </si>
  <si>
    <t>买方（乙方）须在签订采购订单后立即支付订单总金额的 50%，剩余的 50% 款项必须在收货前（卖方交货前）全部付清。买方付款后，须通过电子邮件或在线聊天软件向卖方提供有效的付款凭证；卖方只有在收到足额款项或有效付款凭证后，才会安排生产、检验、检疫及进出口手续。同时，任何因转账产生的费用（包括但不限于中转行费用）均由买方（乙方）承担。
Bên B thanh toán cho Bên A trước 50% tổng giá trị đơn hàng ngay khi ký Đơn đặt hàng, và 50% còn lại thanh toán hết trước khi nhận hàng (trước khi Bên A giao hàng). Sau khi chuyển khoản, Bên B cần cung cấp chứng từ thanh toán hợp lệ qua email hoặc ứng dụng trò chuyện trực tuyến; Bên A chỉ sắp xếp các thủ tục sản xuất, kiểm tra, kiểm dịch, xuất nhập khẩu sau khi nhận đủ số tiền hoặc chứng từ thanh toán này. Đồng thời, bất kỳ khoản phí chuyển khoản nào phát sinh (bao gồm nhưng không giới hạn ở phí ngân hàng trung chuyển) sẽ hoàn toàn do Bên B chịu.</t>
  </si>
  <si>
    <t>越南全德贸易投资有限公司</t>
  </si>
  <si>
    <t>CÔNG TY TNHH ĐẦU TƯ THƯƠNG MẠI TOÀN ĐỨC</t>
  </si>
  <si>
    <t>CONG TY TNHH DAU TU THUONG MAI TOAN DUC</t>
  </si>
  <si>
    <t>全德</t>
  </si>
  <si>
    <t>0106667555</t>
  </si>
  <si>
    <t>Số 5, ngõ 2 phố Đại Linh, Phường Đại Mỗ, TP Hà Nội, Việt Nam.</t>
  </si>
  <si>
    <t>0967260022</t>
  </si>
  <si>
    <t>ĐỖ VĂN LƯƠNG</t>
  </si>
  <si>
    <t>DO VAN LUONG</t>
  </si>
  <si>
    <t>D06-NV4 ô 033, khu D, KĐT Gleximco - Lê Trọng Tấn, Xã La Phù, Huyện Hoài Đức, Thành Phố Hà Nội, Việt Nam</t>
  </si>
  <si>
    <r>
      <rPr>
        <sz val="11"/>
        <color rgb="FF000000"/>
        <rFont val="Times New Roman"/>
        <charset val="134"/>
      </rPr>
      <t>HUU NGHI, LANG SON ,VIETNAM</t>
    </r>
    <r>
      <rPr>
        <sz val="11"/>
        <color rgb="FF000000"/>
        <rFont val="宋体"/>
        <charset val="134"/>
      </rPr>
      <t>，</t>
    </r>
    <r>
      <rPr>
        <sz val="11"/>
        <color rgb="FF000000"/>
        <rFont val="宋体"/>
        <charset val="134"/>
      </rPr>
      <t xml:space="preserve"> 未来火车</t>
    </r>
  </si>
  <si>
    <t>'0967260022</t>
  </si>
  <si>
    <r>
      <rPr>
        <u/>
        <sz val="11"/>
        <color rgb="FF0000FF"/>
        <rFont val="Times New Roman"/>
        <charset val="134"/>
      </rPr>
      <t>toanducfoodhd@gmail.com</t>
    </r>
  </si>
  <si>
    <t>TECHCOMBANK-Ngân hàng Thương mại cổ phần Kỹ Thương Việt Nam</t>
  </si>
  <si>
    <t>越南科技商业股份银行</t>
  </si>
  <si>
    <t>19128691892686/19028691892010</t>
  </si>
  <si>
    <r>
      <rPr>
        <sz val="11"/>
        <color rgb="FF000000"/>
        <rFont val="Times New Roman"/>
        <charset val="134"/>
      </rPr>
      <t xml:space="preserve">toanducfood@gmail.com </t>
    </r>
    <r>
      <rPr>
        <sz val="11"/>
        <color rgb="FF000000"/>
        <rFont val="宋体"/>
        <charset val="134"/>
      </rPr>
      <t>这张邮箱是公司的，邮箱在</t>
    </r>
    <r>
      <rPr>
        <sz val="11"/>
        <color rgb="FF000000"/>
        <rFont val="Times New Roman"/>
        <charset val="134"/>
      </rPr>
      <t>row V</t>
    </r>
    <r>
      <rPr>
        <sz val="11"/>
        <color rgb="FF000000"/>
        <rFont val="宋体"/>
        <charset val="134"/>
      </rPr>
      <t xml:space="preserve">是收到发票 </t>
    </r>
  </si>
  <si>
    <t>越南河内市大姥坊大灵街2号巷5号</t>
  </si>
  <si>
    <t>越南通达发一成员贸易服务有限公司</t>
  </si>
  <si>
    <t>CÔNG TY TNHH MTV THƯƠNG MẠI DỊCH VỤ THÔNG ĐẠT PHÁT</t>
  </si>
  <si>
    <t>CONG TY TNHH MTV THUONG MAI DICH VU THONG DAT PHAT</t>
  </si>
  <si>
    <t>通达发</t>
  </si>
  <si>
    <t>3603857255</t>
  </si>
  <si>
    <t>19/5A, tổ 20, Khu Phố 3, Phường Bửu Long, Thành phố Biên Hoà, Tỉnh Đồng Nai, Việt Nam</t>
  </si>
  <si>
    <t>0379774123</t>
  </si>
  <si>
    <t>CHỀ ÁNH KIM</t>
  </si>
  <si>
    <t>CHE ANH KIM</t>
  </si>
  <si>
    <t>Cụm công nghiệp bảy mẫu thị trấn thái hoà thành phố tân uyên tỉnh Bình Dương</t>
  </si>
  <si>
    <t>Chị Kim</t>
  </si>
  <si>
    <t>Thongdatphat22@gmail.com</t>
  </si>
  <si>
    <t>BIDV-Ngân hàng Thương mại cổ phần Đầu tư và Phát triển Việt Nam</t>
  </si>
  <si>
    <t>67210002953995</t>
  </si>
  <si>
    <t>越南同奈省边和市宝龙坊第3街区20组19/5A号</t>
  </si>
  <si>
    <r>
      <rPr>
        <sz val="11"/>
        <color rgb="FF000000"/>
        <rFont val="宋体"/>
        <charset val="134"/>
      </rPr>
      <t>越南</t>
    </r>
    <r>
      <rPr>
        <sz val="11"/>
        <color rgb="FF000000"/>
        <rFont val="Times New Roman"/>
        <charset val="134"/>
      </rPr>
      <t>VP</t>
    </r>
    <r>
      <rPr>
        <sz val="11"/>
        <color rgb="FF000000"/>
        <rFont val="宋体"/>
        <charset val="134"/>
      </rPr>
      <t>进出口贸易有限公司</t>
    </r>
  </si>
  <si>
    <t>CÔNG TY TNHH THƯƠNG MẠI THỰC PHẨM VINH PHÁT</t>
  </si>
  <si>
    <t>CONG TY TNHH THUONG MAI THUC PHAM VINH PHAT</t>
  </si>
  <si>
    <r>
      <rPr>
        <sz val="11"/>
        <color rgb="FF000000"/>
        <rFont val="宋体"/>
        <charset val="134"/>
      </rPr>
      <t>越南</t>
    </r>
    <r>
      <rPr>
        <sz val="11"/>
        <color rgb="FF000000"/>
        <rFont val="Times New Roman"/>
        <charset val="134"/>
      </rPr>
      <t>VP</t>
    </r>
  </si>
  <si>
    <t>0310487418</t>
  </si>
  <si>
    <t>450/1 Hòa Hảo, Phường Diên Hồng, TP Hồ Chí Minh, Việt Nam.</t>
  </si>
  <si>
    <t>08 39245355</t>
  </si>
  <si>
    <t>LIÊU BÁ SÂM</t>
  </si>
  <si>
    <t>LIEU BA SAM</t>
  </si>
  <si>
    <t>252/18P Phan Anh, phường Hiệp Tân, quận Tân Phú</t>
  </si>
  <si>
    <t>Liên hệ Anh Bân : +84 903003877</t>
  </si>
  <si>
    <t>ACB – PGD Hàm Tử</t>
  </si>
  <si>
    <t>亚洲商业银行</t>
  </si>
  <si>
    <t>810928</t>
  </si>
  <si>
    <t>越南胡志明市演红坊好好路450/1号</t>
  </si>
  <si>
    <t>订单生效之日起3个工作日内，乙方应支付订单金额的【100】%作为预付款；自产品到达越南目的港/站后3个工作日内，乙方应支付订单金额剩余的全部款项。甲方将在收到订单100%款项后送货到乙方指定的收货地点。
Trong vòng 03 ngày làm việc kể từ ngày đơn hàng có hiệu lực, Bên Mua phải thanh toán 【100】%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</si>
  <si>
    <t>越南芳云进出口有限公司</t>
  </si>
  <si>
    <t>CÔNG TY TNHH MTV XNK PHONG VÂN</t>
  </si>
  <si>
    <t>CONG TY TNHH MTV XNK PHONG VAN</t>
  </si>
  <si>
    <t>芳云</t>
  </si>
  <si>
    <t>0310196137</t>
  </si>
  <si>
    <t>20 Huỳnh Thị Bảy, Ấp 1, Xã Tân Nhựt, TP Hồ Chí Minh, Việt Nam.</t>
  </si>
  <si>
    <t>0905586622</t>
  </si>
  <si>
    <t>NGO THI HUONG HOA</t>
  </si>
  <si>
    <t>168 Quang Trung, Phường 10, Gò vấp, TP. Hồ Chí Minh, Việt Nam.</t>
  </si>
  <si>
    <t>Bùi Thị Thu Hằng</t>
  </si>
  <si>
    <t>'0905586622</t>
  </si>
  <si>
    <t>hoadon@phongvanfc.com</t>
  </si>
  <si>
    <t>Ngân hàng TMCP Công Thương Việt Nam(Vietinbank) – Chi nhánh 8</t>
  </si>
  <si>
    <r>
      <rPr>
        <sz val="11"/>
        <color rgb="FF000000"/>
        <rFont val="宋体"/>
        <charset val="134"/>
      </rPr>
      <t>越南工商银行</t>
    </r>
    <r>
      <rPr>
        <sz val="11"/>
        <color rgb="FF000000"/>
        <rFont val="Times New Roman"/>
        <charset val="134"/>
      </rPr>
      <t>-</t>
    </r>
    <r>
      <rPr>
        <sz val="11"/>
        <color rgb="FF000000"/>
        <rFont val="宋体"/>
        <charset val="134"/>
      </rPr>
      <t>第</t>
    </r>
    <r>
      <rPr>
        <sz val="11"/>
        <color rgb="FF000000"/>
        <rFont val="Times New Roman"/>
        <charset val="134"/>
      </rPr>
      <t>8</t>
    </r>
    <r>
      <rPr>
        <sz val="11"/>
        <color rgb="FF000000"/>
        <rFont val="宋体"/>
        <charset val="134"/>
      </rPr>
      <t>分行</t>
    </r>
  </si>
  <si>
    <t>118002711993</t>
  </si>
  <si>
    <t>越南胡志明市新日乡1邑黄氏七路20号</t>
  </si>
  <si>
    <t>越南食品进出口服务贸易有限公司（工业）</t>
  </si>
  <si>
    <t>CÔNG TY TNHH THƯƠNG MẠI DỊCH VỤ XUẤT NHẬP KHẨU VIỆT FOODS(CÔNG NGHIỆP)</t>
  </si>
  <si>
    <t>Thôn Đông Trạch, Xã Nam Phù, TP Hà Nội, Việt Nam</t>
  </si>
  <si>
    <t>越南诺萨食品股份公司（工业）</t>
  </si>
  <si>
    <t>CÔNG TY CỔ PHẦN NOSAFOOD(CÔNG NGHIỆP)</t>
  </si>
  <si>
    <t>NOSAFOOD JOINT STOCK COMPANY</t>
  </si>
  <si>
    <r>
      <rPr>
        <sz val="11"/>
        <color rgb="FF000000"/>
        <rFont val="Times New Roman"/>
        <charset val="134"/>
      </rPr>
      <t>NOSAFOOD(</t>
    </r>
    <r>
      <rPr>
        <sz val="11"/>
        <color rgb="FF000000"/>
        <rFont val="宋体"/>
        <charset val="134"/>
      </rPr>
      <t>工业</t>
    </r>
    <r>
      <rPr>
        <sz val="11"/>
        <color rgb="FF000000"/>
        <rFont val="Times New Roman"/>
        <charset val="134"/>
      </rPr>
      <t>)</t>
    </r>
  </si>
  <si>
    <t>0303841040</t>
  </si>
  <si>
    <t>E4/20 Nguyễn Hữu Trí, Xã Tân Nhựt, Thành phố Hồ Chí Minh, Việt Nam.</t>
  </si>
  <si>
    <t>02862728888</t>
  </si>
  <si>
    <t>HO JOONG</t>
  </si>
  <si>
    <t>Lô D3/1-4 đường VL7, KCN Vĩnh Lộc 2, xã Long Hiệp, huyện Bến Lức, Long An (cổng KCN đi thẳng đến cuối đường rẽ trái, đi tiếp đến cuối đường)</t>
  </si>
  <si>
    <t>0919931349 Ngọc</t>
  </si>
  <si>
    <r>
      <rPr>
        <u/>
        <sz val="11"/>
        <color rgb="FF0000FF"/>
        <rFont val="Times New Roman"/>
        <charset val="134"/>
      </rPr>
      <t>hanhchinh@nosafood.com</t>
    </r>
  </si>
  <si>
    <t>Ngân hàng Agribank, CN Nam Sài Gòn</t>
  </si>
  <si>
    <r>
      <rPr>
        <sz val="11"/>
        <color rgb="FF000000"/>
        <rFont val="宋体"/>
        <charset val="134"/>
      </rPr>
      <t>农业银行南西贡支行（</t>
    </r>
    <r>
      <rPr>
        <sz val="11"/>
        <color rgb="FF000000"/>
        <rFont val="Times New Roman"/>
        <charset val="134"/>
      </rPr>
      <t>VBAAVNVX</t>
    </r>
    <r>
      <rPr>
        <sz val="11"/>
        <color rgb="FF000000"/>
        <rFont val="宋体"/>
        <charset val="134"/>
      </rPr>
      <t>）</t>
    </r>
  </si>
  <si>
    <t>6160201014420</t>
  </si>
  <si>
    <t>越南胡志明市新日乡阮友智路E4/20号</t>
  </si>
  <si>
    <r>
      <rPr>
        <sz val="11"/>
        <color rgb="FF000000"/>
        <rFont val="宋体"/>
        <charset val="134"/>
      </rPr>
      <t>越南诺萨食品股份公司（</t>
    </r>
    <r>
      <rPr>
        <sz val="11"/>
        <color rgb="FF000000"/>
        <rFont val="Times New Roman"/>
        <charset val="134"/>
      </rPr>
      <t>OEM</t>
    </r>
    <r>
      <rPr>
        <sz val="11"/>
        <color rgb="FF000000"/>
        <rFont val="宋体"/>
        <charset val="134"/>
      </rPr>
      <t>）</t>
    </r>
  </si>
  <si>
    <t>CÔNG TY CỔ PHẦN NOSAFOOD(OEM)</t>
  </si>
  <si>
    <t>NOSAFOOD(OEM)</t>
  </si>
  <si>
    <t>E4/20 Nguyễn Hữu Trí, Thị Trấn Tân Túc, Huyện Bình Chánh, Thành phố Hồ Chí Minh, Việt Nam</t>
  </si>
  <si>
    <t>越南胡志明市平政县新足市镇阮友智路E4/20号</t>
  </si>
  <si>
    <t>越南同心投资贸易有限公司</t>
  </si>
  <si>
    <t>CÔNG TY TNHH ĐẦU TƯ VÀ THƯƠNG MẠI ĐỒNG TÂM</t>
  </si>
  <si>
    <t>同心</t>
  </si>
  <si>
    <t>0105032376</t>
  </si>
  <si>
    <t>Số 12, ngách 12, ngõ 23, phố Bồ Đề, tổ 5, Phường Bồ Đề, TP Hà Nội, Việt Nam.</t>
  </si>
  <si>
    <t xml:space="preserve"> VƯƠNG THỊ THU THỦY </t>
  </si>
  <si>
    <t>VUONG THI THU THUY</t>
  </si>
  <si>
    <t>Phường Bồ Đề, quận Long Biên, thành phố Hà Nội, Việt Nam</t>
  </si>
  <si>
    <t xml:space="preserve">Ms Duyên </t>
  </si>
  <si>
    <t xml:space="preserve">. 0376654989 .  </t>
  </si>
  <si>
    <r>
      <rPr>
        <u/>
        <sz val="11"/>
        <color rgb="FF175CEB"/>
        <rFont val="Times New Roman"/>
        <charset val="134"/>
      </rPr>
      <t>salesdongtamfood@gmail.com</t>
    </r>
  </si>
  <si>
    <t>越南河内市菩提坊第5组菩提街23号巷12支巷12号</t>
  </si>
  <si>
    <t>越南新绿食品有限公司</t>
  </si>
  <si>
    <t>CÔNG TY TNHH NEW GREEN FOOD</t>
  </si>
  <si>
    <t>CONG TY TNHH NEW GREEN FOOD</t>
  </si>
  <si>
    <r>
      <rPr>
        <sz val="11"/>
        <color rgb="FF000000"/>
        <rFont val="Times New Roman"/>
        <charset val="134"/>
      </rPr>
      <t>MISA</t>
    </r>
    <r>
      <rPr>
        <sz val="11"/>
        <color rgb="FF000000"/>
        <rFont val="宋体"/>
        <charset val="134"/>
      </rPr>
      <t>新绿食品</t>
    </r>
  </si>
  <si>
    <t>02258831983</t>
  </si>
  <si>
    <t>NGUYEN THANH LONG</t>
  </si>
  <si>
    <t xml:space="preserve"> Ms Thương  </t>
  </si>
  <si>
    <r>
      <rPr>
        <u/>
        <sz val="11"/>
        <color rgb="FF175CEB"/>
        <rFont val="Times New Roman"/>
        <charset val="134"/>
      </rPr>
      <t>lanhuonght88.hp@gmail.com</t>
    </r>
  </si>
  <si>
    <t>越南安库生产贸易和服务有限公司</t>
  </si>
  <si>
    <t>CÔNG TY TNHH SẢN XUẤT THƯƠNG MẠI VÀ DỊCH VỤ AN KHUÊ</t>
  </si>
  <si>
    <r>
      <rPr>
        <sz val="11"/>
        <color rgb="FF000000"/>
        <rFont val="Times New Roman"/>
        <charset val="134"/>
      </rPr>
      <t xml:space="preserve"> AN KHUE </t>
    </r>
    <r>
      <rPr>
        <sz val="11"/>
        <color rgb="FF000000"/>
        <rFont val="宋体"/>
        <charset val="134"/>
      </rPr>
      <t>安库</t>
    </r>
  </si>
  <si>
    <t>0110318349</t>
  </si>
  <si>
    <t>Số 36, Đường Long Biên 2, Phường Bồ Đề, TP Hà Nội, Việt Nam.</t>
  </si>
  <si>
    <t>086 9813026</t>
  </si>
  <si>
    <t xml:space="preserve">TRỊNH NGỌC MINH      </t>
  </si>
  <si>
    <t xml:space="preserve">TRINH NGOC MINH      </t>
  </si>
  <si>
    <r>
      <rPr>
        <sz val="11"/>
        <color rgb="FF000000"/>
        <rFont val="Times New Roman"/>
        <charset val="134"/>
      </rPr>
      <t>Số 374A đường Hùng Vương, phường Hùng Vương, quận Hồng Bàng, thành phố Hải Phòng, Việt Nam: 086 9813026: 9,840 kg——40</t>
    </r>
    <r>
      <rPr>
        <sz val="11"/>
        <color rgb="FF000000"/>
        <rFont val="宋体"/>
        <charset val="134"/>
      </rPr>
      <t>箱</t>
    </r>
  </si>
  <si>
    <t>越南河内市菩提坊龙编2路36号</t>
  </si>
  <si>
    <r>
      <rPr>
        <sz val="11"/>
        <color rgb="FF000000"/>
        <rFont val="宋体"/>
        <charset val="134"/>
      </rPr>
      <t>黄天发（胡志明工业客户</t>
    </r>
    <r>
      <rPr>
        <sz val="11"/>
        <color rgb="FF000000"/>
        <rFont val="Times New Roman"/>
        <charset val="134"/>
      </rPr>
      <t>-</t>
    </r>
    <r>
      <rPr>
        <sz val="11"/>
        <color rgb="FF000000"/>
        <rFont val="宋体"/>
        <charset val="134"/>
      </rPr>
      <t>番茄酱）</t>
    </r>
  </si>
  <si>
    <r>
      <rPr>
        <sz val="11"/>
        <color rgb="FF000000"/>
        <rFont val="Times New Roman"/>
        <charset val="134"/>
      </rPr>
      <t>189 nguyễn oanh p10 gò vấp</t>
    </r>
    <r>
      <rPr>
        <sz val="11"/>
        <color rgb="FF000000"/>
        <rFont val="宋体"/>
        <charset val="134"/>
      </rPr>
      <t>，</t>
    </r>
    <r>
      <rPr>
        <sz val="11"/>
        <color rgb="FF000000"/>
        <rFont val="Times New Roman"/>
        <charset val="134"/>
      </rPr>
      <t xml:space="preserve"> hcmc</t>
    </r>
    <r>
      <rPr>
        <sz val="11"/>
        <color rgb="FF000000"/>
        <rFont val="宋体"/>
        <charset val="134"/>
      </rPr>
      <t>：</t>
    </r>
    <r>
      <rPr>
        <sz val="11"/>
        <color rgb="FF000000"/>
        <rFont val="Times New Roman"/>
        <charset val="134"/>
      </rPr>
      <t>Anh Hoàng : 0937778293 : 1,968kg——8</t>
    </r>
    <r>
      <rPr>
        <sz val="11"/>
        <color rgb="FF000000"/>
        <rFont val="宋体"/>
        <charset val="134"/>
      </rPr>
      <t>箱</t>
    </r>
  </si>
  <si>
    <t>越南惠嘉进出口有限公司</t>
  </si>
  <si>
    <t>CÔNG TY TNHH MTV XUẤT NHẬP KHẨU HUỆ GIA</t>
  </si>
  <si>
    <t>CONG TY TNHH MTV XUAT NHAP KHAU HUE GIA</t>
  </si>
  <si>
    <t>惠嘉</t>
  </si>
  <si>
    <t>2500728577</t>
  </si>
  <si>
    <t>Số 136, đường Tôn Đức Thắng, Phường Vĩnh Phúc, Phú Thọ, Việt Nam.</t>
  </si>
  <si>
    <r>
      <rPr>
        <u/>
        <sz val="11"/>
        <color rgb="FF175CEB"/>
        <rFont val="Times New Roman"/>
        <charset val="134"/>
      </rPr>
      <t>kieutrang281097@gmail.com</t>
    </r>
  </si>
  <si>
    <t>Nngân hàng TMCP Công thương Việt Nam chi nhánh Vĩnh Phúc</t>
  </si>
  <si>
    <t>越南工商银行永福分行</t>
  </si>
  <si>
    <t>111601221555</t>
  </si>
  <si>
    <t>越南富寿省永福坊孙德胜路136号</t>
  </si>
  <si>
    <t>越南邻客贸易有限公司</t>
  </si>
  <si>
    <t>CÔNG TY TNHH THƯƠNG MẠI LIN KE</t>
  </si>
  <si>
    <t>3703139459</t>
  </si>
  <si>
    <t>HT1-1B Lô F8,F9, Đường Bùi Thị Xuân, Khu Đô Thị Mới, Phường Bình Dương, TP Hồ Chí Minh, Việt Nam.</t>
  </si>
  <si>
    <t>'0528062362</t>
  </si>
  <si>
    <t>NGUYỄN THỊ LAN</t>
  </si>
  <si>
    <t>NGUYEN THI LAN</t>
  </si>
  <si>
    <t xml:space="preserve"> Số 49, Đường Truông Bồng Bông, Phường Định Hòa, Thành phố Thủ Dầu Một, Tỉnh Bình Dương</t>
  </si>
  <si>
    <t>'0899021119</t>
  </si>
  <si>
    <t>congtytnhhlinke@gmail.com</t>
  </si>
  <si>
    <t>Ngân hàng Vietcombank-chi nhánh Đông Bình Dương</t>
  </si>
  <si>
    <r>
      <rPr>
        <sz val="11"/>
        <color rgb="FF000000"/>
        <rFont val="宋体"/>
        <charset val="134"/>
      </rPr>
      <t>越南商业银行</t>
    </r>
    <r>
      <rPr>
        <sz val="11"/>
        <color rgb="FF000000"/>
        <rFont val="Times New Roman"/>
        <charset val="134"/>
      </rPr>
      <t>-</t>
    </r>
    <r>
      <rPr>
        <sz val="11"/>
        <color rgb="FF000000"/>
        <rFont val="宋体"/>
        <charset val="134"/>
      </rPr>
      <t>东平阳分行</t>
    </r>
  </si>
  <si>
    <t>越南胡志明市平阳坊新市区裴氏春路F8、F9地块HT1-1B</t>
  </si>
  <si>
    <t>越南荷青综合贸易有限公司</t>
  </si>
  <si>
    <t>CÔNG TY TNHH KINH DOANH TỔNG HỢP HÀ THANH</t>
  </si>
  <si>
    <t>CONG TY TNHH KINH DOANH TONG HOP HA THANH</t>
  </si>
  <si>
    <t>荷青</t>
  </si>
  <si>
    <t>4900918008</t>
  </si>
  <si>
    <t>Số 75, đường Hoàng Văn Thụ, khu Lò Rèn, Xã Đồng Đăng, Lạng Sơn, Việt Nam.</t>
  </si>
  <si>
    <t>‘0969049348</t>
  </si>
  <si>
    <t>HÀ THỊ THANH</t>
  </si>
  <si>
    <t>HA THI THANH</t>
  </si>
  <si>
    <t>ctyhathanh8689@gmail.com.</t>
  </si>
  <si>
    <t>Ngân Hàng TMCP Công Thương Việt Nam CN LẠNG SƠN -PGD ĐỒNG ĐĂNG</t>
  </si>
  <si>
    <t>118190139999</t>
  </si>
  <si>
    <t>越南谅山省同登乡炉炼区黄文树路75号</t>
  </si>
  <si>
    <t>海洋安军一成员责任有限公司</t>
  </si>
  <si>
    <t>CÔNG TY TNHH MTV AN QUÂN HẢI DƯƠNG</t>
  </si>
  <si>
    <t>CONG TY TNHH MTV AN QUAN HAI DUONG</t>
  </si>
  <si>
    <t>海阳</t>
  </si>
  <si>
    <t>0801179630</t>
  </si>
  <si>
    <t>Số nhà 13/75 Bùi Thị Xuân, Phường Lê Thanh Nghị, TP Hải Phòng, Việt Nam.</t>
  </si>
  <si>
    <t>’01675599541</t>
  </si>
  <si>
    <t>NGUYỄN VĂN VĨNH</t>
  </si>
  <si>
    <t>NGUYEN VAN VINH</t>
  </si>
  <si>
    <t>Số nhà 13/75 Bùi Thị Xuân, Phường Lê Thanh Nghị, Thành phố Hải Dương, Tỉnh Hải Dương, Việt Nam</t>
  </si>
  <si>
    <t>越南海防市黎青议坊裴氏春路13/75号门牌</t>
  </si>
  <si>
    <r>
      <rPr>
        <sz val="11"/>
        <color rgb="FF000000"/>
        <rFont val="宋体"/>
        <charset val="134"/>
      </rPr>
      <t>越南</t>
    </r>
    <r>
      <rPr>
        <sz val="11"/>
        <color rgb="FF000000"/>
        <rFont val="Times New Roman"/>
        <charset val="134"/>
      </rPr>
      <t>KEKI</t>
    </r>
    <r>
      <rPr>
        <sz val="11"/>
        <color rgb="FF000000"/>
        <rFont val="宋体"/>
        <charset val="134"/>
      </rPr>
      <t>股份有限公司（工业）</t>
    </r>
  </si>
  <si>
    <t>CÔNG TY CỔ PHẦN KEKI VIỆT NAM</t>
  </si>
  <si>
    <t>0801249246</t>
  </si>
  <si>
    <t>Thửa đất số 1488, tờ bản đồ số 09, Xã Thanh Miện, TP Hải Phòng, Việt Nam.</t>
  </si>
  <si>
    <t>Ông Phạm Hữu Tuấn</t>
  </si>
  <si>
    <t>范友俊</t>
  </si>
  <si>
    <t>Tổng giám đốc</t>
  </si>
  <si>
    <t>Thửa đất số 1488, tờ bản đồ số 09, Thị Trấn Thanh Miện, Huyện Thanh Miện, Tỉnh Hải Dương, Việt Nam</t>
  </si>
  <si>
    <t>Ngân hàng BIDV CN Hải Dương</t>
  </si>
  <si>
    <t>越南投资发展银行海阳支行</t>
  </si>
  <si>
    <t>越南海防市青沔乡第09号地图块1488号地块</t>
  </si>
  <si>
    <t>订单采用【定金30%】的方式。乙方应自订单生效之日起10个工作日内（以甲方所在地时间为准）将【付定金30%】和在通知到货后付清剩余的70%货款以【电汇】方式支付至甲方指定账户，并以邮件或即时通讯软件的方式提供有效的支付凭证，由此产生的转账费用（包括但不限于中转行手续费）由乙方承担。甲方将在收到足额货款或支付凭证后安排生产、检验检疫及进出口手续。
Đơn đặt hàng theo phương thức thanh toán 【đặt cọc 30%】. Trong vòng 10 ngày làm việc kể từ ngày đơn đặt hàng có hiệu lực (giờ địa phương của Bên A), Bên B cần thanh toán 【đặt cọc 30%】 và thanh toán hết 70% phần còn lại sau khi có thông báo hàng đến bằng 【Chuyển khoản điện tử】 vào tài khoản do Bên A chỉ định và cung cấp chứng từ thanh toán hợp lệ qua email hoặc tin nhắn. Bất kỳ khoản phí chuyển khoản nào phát sinh (bao gồm nhưng không giới hạn ở phí ngân hàng trung chuyển) sẽ do Bên B chịu. Bên A sẽ thu xếp các thủ tục sản xuất, kiểm tra, kiểm dịch và xuất nhập khẩu sau khi nhận đủ tiền thanh toán hoặc chứng từ thanh toán.</t>
  </si>
  <si>
    <t>越南流行水族有限公司</t>
  </si>
  <si>
    <t>CÔNG TY TNHH POP AQUA</t>
  </si>
  <si>
    <t>CONG TY TNHH POP AQUA</t>
  </si>
  <si>
    <t>北江</t>
  </si>
  <si>
    <t>2400944895</t>
  </si>
  <si>
    <t>Số nhà 17, Tổ dân phố số 3, Phường Đa Mai, Bắc Ninh, Việt Nam.</t>
  </si>
  <si>
    <t>0326296668</t>
  </si>
  <si>
    <t>LUONG VAN LOC</t>
  </si>
  <si>
    <t>Số nhà 17, tổ dân phố số 3, phường Mỹ Độ, thành phố Bắc Giang, tỉnh Bắc Giang</t>
  </si>
  <si>
    <t>LƯƠNG VĂN LỘC</t>
  </si>
  <si>
    <t>0326296668 - 0373826710</t>
  </si>
  <si>
    <t>pop.aquarium.sp@gmail.com</t>
  </si>
  <si>
    <t>Ngân hàng VietinBank - Bắc Giang</t>
  </si>
  <si>
    <r>
      <rPr>
        <sz val="11"/>
        <color rgb="FF000000"/>
        <rFont val="宋体"/>
        <charset val="134"/>
      </rPr>
      <t>越南工商银行北江分行</t>
    </r>
    <r>
      <rPr>
        <sz val="11"/>
        <color rgb="FF000000"/>
        <rFont val="Times New Roman"/>
        <charset val="134"/>
      </rPr>
      <t>​</t>
    </r>
  </si>
  <si>
    <t>119002923696</t>
  </si>
  <si>
    <t>越南北宁省多梅坊第3居民组17号门牌</t>
  </si>
  <si>
    <t>越南亚洲化学股份有限公司（工业）</t>
  </si>
  <si>
    <t>CÔNG TY CỔ PHẦN HÓA CHẤT Á CHÂU</t>
  </si>
  <si>
    <t>CONG TY CO PHAN HOA CHAT A CHAU</t>
  </si>
  <si>
    <t>ACC</t>
  </si>
  <si>
    <t>0304918352</t>
  </si>
  <si>
    <t>Lô K4B khu công nghiệp Lê Minh Xuân, Đường Số 4, Xã Bình Lợi, TP Hồ Chí Minh, Việt Nam.</t>
  </si>
  <si>
    <t>0838868174</t>
  </si>
  <si>
    <t>PHAN DUY HIEU</t>
  </si>
  <si>
    <t>12 đại lộ độc lập , khu công nghiệp sóng thần 1 , dĩ an, dĩ an bình dương</t>
  </si>
  <si>
    <t>Anh Nhân - Thủ kho: 0938939817</t>
  </si>
  <si>
    <t>info@asia-chemical.com</t>
  </si>
  <si>
    <t>Vietinbank Chi nhánh 7 - thành phố Hồ Chí Minh</t>
  </si>
  <si>
    <r>
      <rPr>
        <sz val="11"/>
        <color rgb="FF000000"/>
        <rFont val="Times New Roman"/>
        <charset val="134"/>
      </rPr>
      <t>​​</t>
    </r>
    <r>
      <rPr>
        <sz val="11"/>
        <color rgb="FF000000"/>
        <rFont val="宋体"/>
        <charset val="134"/>
      </rPr>
      <t>越南工商银行胡志明市</t>
    </r>
    <r>
      <rPr>
        <sz val="11"/>
        <color rgb="FF000000"/>
        <rFont val="Times New Roman"/>
        <charset val="134"/>
      </rPr>
      <t>​</t>
    </r>
    <r>
      <rPr>
        <sz val="11"/>
        <color rgb="FF000000"/>
        <rFont val="宋体"/>
        <charset val="134"/>
      </rPr>
      <t>第七分行</t>
    </r>
  </si>
  <si>
    <t>117002653125</t>
  </si>
  <si>
    <t>彭烨</t>
  </si>
  <si>
    <t>越南胡志明市平利乡4号路黎明春工业区K4B地块</t>
  </si>
  <si>
    <t>越南美越食品供应有限公司</t>
  </si>
  <si>
    <t>CÔNG TY TNHH CUNG CẤP THỰC PHẨM MỸ VIỆT</t>
  </si>
  <si>
    <t>CONG TY TNHH CUNG CAP THUC PHAM MY VIET</t>
  </si>
  <si>
    <t>美越</t>
  </si>
  <si>
    <t>0110189527</t>
  </si>
  <si>
    <t>Kiot 19-20-21 Tòa CT9 Khu đô thị Định Công, Phường Phương Liệt, TP Hà Nội, Việt Nam.</t>
  </si>
  <si>
    <t>0899803689</t>
  </si>
  <si>
    <t>BA DANG THU ANH</t>
  </si>
  <si>
    <t>pptpvietmy@gmail.com</t>
  </si>
  <si>
    <t>MB Bank CN Hai Bà Trưng</t>
  </si>
  <si>
    <t>越南军队商业银行二征夫人区分行</t>
  </si>
  <si>
    <t>越南河内市芳烈坊定功新市区CT9大楼19-20-21号商铺</t>
  </si>
  <si>
    <t>越南山水发商贸服务股份公司</t>
  </si>
  <si>
    <t>CÔNG TY CỔ PHẦN THƯƠNG MẠI VÀ DỊCH VỤ SƠN THỦY PHÁT</t>
  </si>
  <si>
    <t>CONG TY CO PHAN THUONG MAI VA DICH VU SON THUY PHAT</t>
  </si>
  <si>
    <t>山水发</t>
  </si>
  <si>
    <t>0105021487</t>
  </si>
  <si>
    <t>Số 7, hẻm 823/19/2 đường Hồng Hà, Phường Hồng Hà, TP Hà Nội, Việt Nam.</t>
  </si>
  <si>
    <t>0912961292</t>
  </si>
  <si>
    <t>VU THI THUY</t>
  </si>
  <si>
    <t>sonthuyphat@gmail.com</t>
  </si>
  <si>
    <t>Ngân hàng á Châu ACB - chi nhánh Nguyễn Thị Định</t>
  </si>
  <si>
    <r>
      <rPr>
        <sz val="11"/>
        <color rgb="FF000000"/>
        <rFont val="宋体"/>
        <charset val="134"/>
      </rPr>
      <t>亚洲商业银行阮氏定区分行</t>
    </r>
    <r>
      <rPr>
        <sz val="11"/>
        <color rgb="FF000000"/>
        <rFont val="Times New Roman"/>
        <charset val="134"/>
      </rPr>
      <t>​</t>
    </r>
  </si>
  <si>
    <t>越南河内市红河坊红河路823/19/2号巷7号</t>
  </si>
  <si>
    <r>
      <rPr>
        <sz val="11"/>
        <color rgb="FF000000"/>
        <rFont val="宋体"/>
        <charset val="134"/>
      </rPr>
      <t>越南秋香贸易经营有限责任公司</t>
    </r>
    <r>
      <rPr>
        <sz val="11"/>
        <color rgb="FF000000"/>
        <rFont val="Calibri"/>
        <charset val="134"/>
      </rPr>
      <t>​</t>
    </r>
  </si>
  <si>
    <t>CÔNG TY TNHH KINH DOANH THƯƠNG MẠI THU HƯƠNG</t>
  </si>
  <si>
    <t>CONG TY TNHH KINH DOANH THUONG MAI THU HUONG</t>
  </si>
  <si>
    <t>秋香</t>
  </si>
  <si>
    <t>0601287156</t>
  </si>
  <si>
    <t>Số 16 đường Hưng Yên, Phường Nam Định, Ninh Bình, Việt Nam.</t>
  </si>
  <si>
    <t>0913344477</t>
  </si>
  <si>
    <t>DINH THI THU HUONG</t>
  </si>
  <si>
    <t>thuhuong.trading@gmail.com</t>
  </si>
  <si>
    <t>Ngân hàng á Châu ACB - chi nhánh tỉnh Nam Định</t>
  </si>
  <si>
    <r>
      <rPr>
        <i/>
        <sz val="11"/>
        <color rgb="FF000000"/>
        <rFont val="宋体"/>
        <charset val="134"/>
      </rPr>
      <t>亚洲商业银行</t>
    </r>
    <r>
      <rPr>
        <i/>
        <sz val="11"/>
        <color rgb="FF000000"/>
        <rFont val="宋体"/>
        <charset val="134"/>
      </rPr>
      <t xml:space="preserve"> 南定省分行</t>
    </r>
    <r>
      <rPr>
        <i/>
        <sz val="11"/>
        <color rgb="FF000000"/>
        <rFont val="Times New Roman"/>
        <charset val="134"/>
      </rPr>
      <t>​</t>
    </r>
  </si>
  <si>
    <t>越南宁平省南定坊兴安路16号</t>
  </si>
  <si>
    <t>越南泰东兴有限公司</t>
  </si>
  <si>
    <t>CÔNG TY TNHH THÁI ĐÔNG HƯNG</t>
  </si>
  <si>
    <t>CONG TY TNHH THAI DONG HUNG</t>
  </si>
  <si>
    <t>泰东兴</t>
  </si>
  <si>
    <r>
      <rPr>
        <sz val="11"/>
        <color rgb="FF000000"/>
        <rFont val="Times New Roman"/>
        <charset val="134"/>
      </rPr>
      <t>0401493641</t>
    </r>
    <r>
      <rPr>
        <sz val="11"/>
        <color rgb="FF000000"/>
        <rFont val="Times New Roman"/>
        <charset val="134"/>
      </rPr>
      <t xml:space="preserve">      </t>
    </r>
  </si>
  <si>
    <t>130 Phạm Đình Hổ, Phường Thanh Khê, TP Đà Nẵng, Việt Nam.</t>
  </si>
  <si>
    <t>0982156159</t>
  </si>
  <si>
    <t>Đinh Ngọc Dinh</t>
  </si>
  <si>
    <t>丁玉圣</t>
  </si>
  <si>
    <t>172-178 Bùi Tấn Diên, phường Hòa Khánh, thành phố Đà Nẵng, Việt Nam</t>
  </si>
  <si>
    <t>0932159830</t>
  </si>
  <si>
    <r>
      <rPr>
        <sz val="11"/>
        <color rgb="FF000000"/>
        <rFont val="Times New Roman"/>
        <charset val="134"/>
      </rPr>
      <t>dinhcaor@gmail.com</t>
    </r>
    <r>
      <rPr>
        <sz val="15"/>
        <color rgb="FF000000"/>
        <rFont val="宋体"/>
        <charset val="134"/>
      </rPr>
      <t xml:space="preserve">       </t>
    </r>
  </si>
  <si>
    <t>Ngân hàng Nông nghiệp và Phát triển Nông thôn Việt Nam - Chi nhánh Thanh Khê Đà Nẵng - phòng giao dịch Thanh Lộc Đán</t>
  </si>
  <si>
    <t>越南农业与农村发展银行 - 岘港市清溪区清禄旦营业点</t>
  </si>
  <si>
    <t>2003201085786</t>
  </si>
  <si>
    <t>越南岘港市清溪郡范廷琥路130号</t>
  </si>
  <si>
    <t>越南宝芳林有限责任公司</t>
  </si>
  <si>
    <r>
      <rPr>
        <sz val="11"/>
        <color rgb="FF000000"/>
        <rFont val="Times New Roman"/>
        <charset val="134"/>
      </rPr>
      <t>CÔNG TY TNHH BẢO PHƯƠNG LÂM</t>
    </r>
    <r>
      <rPr>
        <sz val="11"/>
        <color rgb="FF000000"/>
        <rFont val="Times New Roman"/>
        <charset val="134"/>
      </rPr>
      <t xml:space="preserve">      </t>
    </r>
  </si>
  <si>
    <t>CONG TY TNHH BAO PHUONG LAM</t>
  </si>
  <si>
    <t>宝芳林</t>
  </si>
  <si>
    <t>'0111304719</t>
  </si>
  <si>
    <t>NO13-LK13-04, Khu đất dịch vụ LK8, LK9, LK10, LK15, LK21, LK23, LK24, LK26, C6, TH17 đường Nguyễn Thanh Bình, Phường Hà Đông, TP Hà Nội, Việt Nam.</t>
  </si>
  <si>
    <t>0765526888</t>
  </si>
  <si>
    <t>TRẦN THỊ NGỌC ANH</t>
  </si>
  <si>
    <t>TRAN THI NGOC ANH</t>
  </si>
  <si>
    <t>NO13-LK13-04, Khu đất dịch vụ LK8, LK9, LK10, LK15, LK21, LK23, LK24, LK26, C6, TH17 đường Nguyễn Thanh Bình, Phường Hà Đông, TP Hà Nội, Việt Nam</t>
  </si>
  <si>
    <t>'0765526888</t>
  </si>
  <si>
    <t>ngocanhtran17081993@gmail.com</t>
  </si>
  <si>
    <t>Ngân hàng Techcombank - Chi nhánh Ba Đình</t>
  </si>
  <si>
    <t>越南科技商业银行巴亭分行</t>
  </si>
  <si>
    <t>越南河内市河东郡阮青平路，LK8、LK9、LK10、LK15、LK21、LK23、LK24、LK26、C6、TH17服务用地地块NO13-LK13-04号 (文本右侧被截断)</t>
  </si>
  <si>
    <r>
      <rPr>
        <sz val="11"/>
        <color rgb="FF000000"/>
        <rFont val="SimSun"/>
        <charset val="134"/>
      </rPr>
      <t>订单生效之日起</t>
    </r>
    <r>
      <rPr>
        <sz val="11"/>
        <color rgb="FF000000"/>
        <rFont val="Times New Roman"/>
        <charset val="134"/>
      </rPr>
      <t>3</t>
    </r>
    <r>
      <rPr>
        <sz val="11"/>
        <color rgb="FF000000"/>
        <rFont val="SimSun"/>
        <charset val="134"/>
      </rPr>
      <t>个工作日内，乙方应支付订单金额的【</t>
    </r>
    <r>
      <rPr>
        <sz val="11"/>
        <color rgb="FF000000"/>
        <rFont val="Times New Roman"/>
        <charset val="134"/>
      </rPr>
      <t>50</t>
    </r>
    <r>
      <rPr>
        <sz val="11"/>
        <color rgb="FF000000"/>
        <rFont val="SimSun"/>
        <charset val="134"/>
      </rPr>
      <t>】</t>
    </r>
    <r>
      <rPr>
        <sz val="11"/>
        <color rgb="FF000000"/>
        <rFont val="Times New Roman"/>
        <charset val="134"/>
      </rPr>
      <t>%</t>
    </r>
    <r>
      <rPr>
        <sz val="11"/>
        <color rgb="FF000000"/>
        <rFont val="SimSun"/>
        <charset val="134"/>
      </rPr>
      <t>作为预付款；自产品到达越南目的港</t>
    </r>
    <r>
      <rPr>
        <sz val="11"/>
        <color rgb="FF000000"/>
        <rFont val="Times New Roman"/>
        <charset val="134"/>
      </rPr>
      <t>/</t>
    </r>
    <r>
      <rPr>
        <sz val="11"/>
        <color rgb="FF000000"/>
        <rFont val="SimSun"/>
        <charset val="134"/>
      </rPr>
      <t>站后</t>
    </r>
    <r>
      <rPr>
        <sz val="11"/>
        <color rgb="FF000000"/>
        <rFont val="Times New Roman"/>
        <charset val="134"/>
      </rPr>
      <t>3</t>
    </r>
    <r>
      <rPr>
        <sz val="11"/>
        <color rgb="FF000000"/>
        <rFont val="SimSun"/>
        <charset val="134"/>
      </rPr>
      <t>个工作日内，乙方应支付订单金额剩余的全部款项。甲方将在收到订单</t>
    </r>
    <r>
      <rPr>
        <sz val="11"/>
        <color rgb="FF000000"/>
        <rFont val="Times New Roman"/>
        <charset val="134"/>
      </rPr>
      <t>100%</t>
    </r>
    <r>
      <rPr>
        <sz val="11"/>
        <color rgb="FF000000"/>
        <rFont val="SimSun"/>
        <charset val="134"/>
      </rPr>
      <t>款项后送货到乙方指定的收货地点。</t>
    </r>
    <r>
      <rPr>
        <sz val="11"/>
        <color rgb="FF000000"/>
        <rFont val="Times New Roman"/>
        <charset val="134"/>
      </rPr>
      <t xml:space="preserve">
Trong vòng 03 ngày làm việc kể từ ngày đơn hàng có hiệu lực, Bên Mua phải thanh toán </t>
    </r>
    <r>
      <rPr>
        <sz val="11"/>
        <color rgb="FF000000"/>
        <rFont val="SimSun"/>
        <charset val="134"/>
      </rPr>
      <t>【</t>
    </r>
    <r>
      <rPr>
        <sz val="11"/>
        <color rgb="FF000000"/>
        <rFont val="Times New Roman"/>
        <charset val="134"/>
      </rPr>
      <t>50</t>
    </r>
    <r>
      <rPr>
        <sz val="11"/>
        <color rgb="FF000000"/>
        <rFont val="SimSun"/>
        <charset val="134"/>
      </rPr>
      <t>】</t>
    </r>
    <r>
      <rPr>
        <sz val="11"/>
        <color rgb="FF00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</si>
  <si>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t>越南卷芝贸易服务有限公司</t>
  </si>
  <si>
    <t>CÔNG TY TNHH THƯƠNG MẠI VÀ DỊCH VỤ QUYẾN CHI</t>
  </si>
  <si>
    <t>CONG TY TNHH THUONG MAI VA DICH VU QUYEN CHI</t>
  </si>
  <si>
    <t>北宁</t>
  </si>
  <si>
    <t>2301335973</t>
  </si>
  <si>
    <t>Xóm Già A, Khu 3, Phường Vũ Ninh, Bắc Ninh, Việt Nam.</t>
  </si>
  <si>
    <t>0387882186</t>
  </si>
  <si>
    <t>VŨ XUÂN QUYẾN</t>
  </si>
  <si>
    <t>Số 9 Trần Đăng Tuyển ,Vũ Ninh , Bắc Ninh</t>
  </si>
  <si>
    <t>quyenchi7783@gmail.com</t>
  </si>
  <si>
    <t>VIETNAM JOINT STOCK COMMERCIAL BANK FOR INDUSTRY AND TRADE (VIETIN BANK)</t>
  </si>
  <si>
    <t>越南北宁省武宁坊第3区老A村</t>
  </si>
  <si>
    <r>
      <rPr>
        <sz val="11"/>
        <color rgb="FF000000"/>
        <rFont val="宋体"/>
        <charset val="134"/>
        <scheme val="minor"/>
      </rPr>
      <t>越南福禄</t>
    </r>
    <r>
      <rPr>
        <sz val="11"/>
        <color rgb="FF000000"/>
        <rFont val="Times New Roman"/>
        <charset val="134"/>
      </rPr>
      <t>BG</t>
    </r>
    <r>
      <rPr>
        <sz val="11"/>
        <color rgb="FF000000"/>
        <rFont val="宋体"/>
        <charset val="134"/>
        <scheme val="minor"/>
      </rPr>
      <t>进出口有限公司</t>
    </r>
  </si>
  <si>
    <t>CONG TY TNHH XNK PHUC LOC BG</t>
  </si>
  <si>
    <t>Đường Nguyễn Thái Học, Tổ Dân Phố Xóm Ba, Phường Đa Mai, Bắc Ninh, Việt Nam.</t>
  </si>
  <si>
    <t>0983915597</t>
  </si>
  <si>
    <t>LƯƠNG VĂN PHÚC</t>
  </si>
  <si>
    <t>Tổ 3 phường đa mai tỉnh bắc ninh</t>
  </si>
  <si>
    <t>locbgphuc@gmail.com</t>
  </si>
  <si>
    <t>110646848886</t>
  </si>
  <si>
    <t>越南北宁省多梅坊三村居民组阮太学路</t>
  </si>
  <si>
    <r>
      <rPr>
        <sz val="11"/>
        <color rgb="FF000000"/>
        <rFont val="宋体"/>
        <charset val="134"/>
        <scheme val="minor"/>
      </rPr>
      <t>越南鸿发</t>
    </r>
    <r>
      <rPr>
        <sz val="11"/>
        <color rgb="FF000000"/>
        <rFont val="Times New Roman"/>
        <charset val="134"/>
      </rPr>
      <t>MC</t>
    </r>
    <r>
      <rPr>
        <sz val="11"/>
        <color rgb="FF000000"/>
        <rFont val="宋体"/>
        <charset val="134"/>
        <scheme val="minor"/>
      </rPr>
      <t>进出口有限公司</t>
    </r>
  </si>
  <si>
    <r>
      <rPr>
        <sz val="11"/>
        <color rgb="FF000000"/>
        <rFont val="宋体"/>
        <charset val="134"/>
        <scheme val="minor"/>
      </rPr>
      <t>CÔNG TY TNHH XUẤT</t>
    </r>
    <r>
      <rPr>
        <sz val="11"/>
        <color rgb="FF000000"/>
        <rFont val="宋体"/>
        <charset val="134"/>
        <scheme val="minor"/>
      </rPr>
      <t xml:space="preserve">   NHẬP KHÂU HOÀN PHÁT MC   </t>
    </r>
  </si>
  <si>
    <t>CONG TY TNHH XUAT NHAP KHAU HOAN PHAT MC</t>
  </si>
  <si>
    <t>芒街</t>
  </si>
  <si>
    <t>5702163540</t>
  </si>
  <si>
    <t>SN B11, S17 Khu Đô Thị Phượng Hoàng, Thôn 13, Phường Móng Cái 1, Quảng Ninh, Việt Nam.</t>
  </si>
  <si>
    <t>0913237269</t>
  </si>
  <si>
    <t>NGUYỄN XUÂN HOÀN</t>
  </si>
  <si>
    <t>Ngã 5 ninh dương , cảng quang phát 1 , phường mc 2</t>
  </si>
  <si>
    <t>tamtithxmc@gmail.com</t>
  </si>
  <si>
    <t>AGRIBANK PLC</t>
  </si>
  <si>
    <t>农业银行</t>
  </si>
  <si>
    <t>8090666663999</t>
  </si>
  <si>
    <t>越南广宁省芒街1坊13村凤皇新市区B11, S17号门牌</t>
  </si>
  <si>
    <t>越南明缘进出口有限公司</t>
  </si>
  <si>
    <r>
      <rPr>
        <sz val="11"/>
        <color rgb="FF000000"/>
        <rFont val="宋体"/>
        <charset val="134"/>
        <scheme val="minor"/>
      </rPr>
      <t xml:space="preserve">
CÔNG TY TNHH XUẤT NHẬP KHẨU MINH DUYÊN</t>
    </r>
    <r>
      <rPr>
        <sz val="11"/>
        <color rgb="FF000000"/>
        <rFont val="宋体"/>
        <charset val="134"/>
        <scheme val="minor"/>
      </rPr>
      <t xml:space="preserve">
</t>
    </r>
  </si>
  <si>
    <t>CONG TY TNHH XUAT NHAP KHAU MINH DUYEN</t>
  </si>
  <si>
    <t>老街</t>
  </si>
  <si>
    <t>5300836228</t>
  </si>
  <si>
    <t>Số nhà 073, Thôn Hồng Giang, Phường Lào Cai, Lào Cai, Việt Nam.</t>
  </si>
  <si>
    <t>0868251224</t>
  </si>
  <si>
    <t>ĐẢO ĐỨC MINH</t>
  </si>
  <si>
    <t>Kho lưu bằng, kcn bắc duyên hải, tp lào cai tỉnh lào cai</t>
  </si>
  <si>
    <t>xnkminhduyenlc@gmail.com</t>
  </si>
  <si>
    <t>MILITARY COMMERCIAL JOINT STOCK BANK</t>
  </si>
  <si>
    <t>越南军队商业银行</t>
  </si>
  <si>
    <t>越南老街省老街坊红江村073号门牌</t>
  </si>
  <si>
    <t>越南国宴云厨房有限公司（工业）</t>
  </si>
  <si>
    <t>CONG TY TNHH QUỐC YẾN CLOUD KITCHEN</t>
  </si>
  <si>
    <t>CONG TY TNHH QUOC YEN CLOUD KITCHEN</t>
  </si>
  <si>
    <t>国宴</t>
  </si>
  <si>
    <t>0309576416</t>
  </si>
  <si>
    <t>3SB1-12 Đường số 20, Khu phố Mỹ Viên, Khu đô thị Phú Mỹ Hưng, Phường Tân Mỹ, Thành phố Hồ Chí Minh, Việt Nam</t>
  </si>
  <si>
    <t>0888058989</t>
  </si>
  <si>
    <t>LÝ TRƯƠNG HUY</t>
  </si>
  <si>
    <t>黎长辉</t>
  </si>
  <si>
    <t>Chủ tịch Công ty</t>
  </si>
  <si>
    <t>公司主席</t>
  </si>
  <si>
    <t>Ngân Hàng Agribank</t>
  </si>
  <si>
    <t>越南农业与农村发展银行</t>
  </si>
  <si>
    <t>6240238000389</t>
  </si>
  <si>
    <r>
      <rPr>
        <sz val="11"/>
        <color rgb="FF000000"/>
        <rFont val="SimSun"/>
        <charset val="134"/>
      </rPr>
      <t>越南胡志明市新富坊富美兴新城美缘小区</t>
    </r>
    <r>
      <rPr>
        <sz val="11"/>
        <color rgb="FF000000"/>
        <rFont val="Times New Roman"/>
        <charset val="134"/>
      </rPr>
      <t>20</t>
    </r>
    <r>
      <rPr>
        <sz val="11"/>
        <color rgb="FF000000"/>
        <rFont val="SimSun"/>
        <charset val="134"/>
      </rPr>
      <t>号路</t>
    </r>
    <r>
      <rPr>
        <sz val="11"/>
        <color rgb="FF000000"/>
        <rFont val="Times New Roman"/>
        <charset val="134"/>
      </rPr>
      <t>3SB1-12</t>
    </r>
  </si>
  <si>
    <t>越南陈日儿有限公司</t>
  </si>
  <si>
    <t>CÔNG TY TNHH NHẬT NHI TRẦN</t>
  </si>
  <si>
    <t>CONG TY TNHH NHAT NHI TRAN</t>
  </si>
  <si>
    <t>陈日儿</t>
  </si>
  <si>
    <t>0305684805</t>
  </si>
  <si>
    <t>766 Sư Vạn Hạnh, Phường Hòa Hưng, Thành Phố Hồ Chí Minh, Việt Nam</t>
  </si>
  <si>
    <t>0898084868</t>
  </si>
  <si>
    <t xml:space="preserve">LƯU QUỐC HOÀNG </t>
  </si>
  <si>
    <t>刘国煌</t>
  </si>
  <si>
    <t>Nguyễn Ngọc Huy</t>
  </si>
  <si>
    <t>08 9941 5732</t>
  </si>
  <si>
    <t>hoang@dora.vn；Huy.nguyen@dora.vn</t>
  </si>
  <si>
    <t>Ngân hàng MB - Cơ sở 2</t>
  </si>
  <si>
    <r>
      <rPr>
        <sz val="11"/>
        <color rgb="FF000000"/>
        <rFont val="SimSun"/>
        <charset val="134"/>
      </rPr>
      <t>越南军队股份商业银行</t>
    </r>
    <r>
      <rPr>
        <sz val="11"/>
        <color rgb="FF000000"/>
        <rFont val="Times New Roman"/>
        <charset val="134"/>
      </rPr>
      <t>2</t>
    </r>
    <r>
      <rPr>
        <sz val="11"/>
        <color rgb="FF000000"/>
        <rFont val="SimSun"/>
        <charset val="134"/>
      </rPr>
      <t>号营业点</t>
    </r>
    <r>
      <rPr>
        <sz val="11"/>
        <color rgb="FF000000"/>
        <rFont val="Times New Roman"/>
        <charset val="134"/>
      </rPr>
      <t>/</t>
    </r>
    <r>
      <rPr>
        <sz val="11"/>
        <color rgb="FF000000"/>
        <rFont val="SimSun"/>
        <charset val="134"/>
      </rPr>
      <t>分行</t>
    </r>
  </si>
  <si>
    <t>越南胡志明市和兴坊师万行路 766号</t>
  </si>
  <si>
    <t>越南-安平发添加剂公司（食品工业）</t>
  </si>
  <si>
    <t>CÔNG TY TNHH XUẤT NHẬP KHẨU VÀ THƯƠNG MẠI AN BÌNH PHÁT</t>
  </si>
  <si>
    <t>CONG TY TNHH XUAT NHAP KHAU VA THUONG MAI AN BINH PHAT</t>
  </si>
  <si>
    <t>安平发</t>
  </si>
  <si>
    <t>0110903413</t>
  </si>
  <si>
    <t>Số 344 đường Hà Huy Tập, Xã Phù Đổng, Thành phố Hà Nội, Việt Nam</t>
  </si>
  <si>
    <t>0919 999 893</t>
  </si>
  <si>
    <t>NGUYỄN MẠNH CƯỜNG</t>
  </si>
  <si>
    <t>阮孟强</t>
  </si>
  <si>
    <t>Ngân hàng TMCP Kỹ Thương Việt Nam – CN Bà Triệu</t>
  </si>
  <si>
    <r>
      <rPr>
        <sz val="11"/>
        <color rgb="FF000000"/>
        <rFont val="SimSun"/>
        <charset val="134"/>
      </rPr>
      <t>越南科技商业股份银行</t>
    </r>
    <r>
      <rPr>
        <sz val="11"/>
        <color rgb="FF000000"/>
        <rFont val="Times New Roman"/>
        <charset val="134"/>
      </rPr>
      <t xml:space="preserve"> - </t>
    </r>
    <r>
      <rPr>
        <sz val="11"/>
        <color rgb="FF000000"/>
        <rFont val="SimSun"/>
        <charset val="134"/>
      </rPr>
      <t>百万支行</t>
    </r>
  </si>
  <si>
    <r>
      <rPr>
        <sz val="11"/>
        <color rgb="FF000000"/>
        <rFont val="SimSun"/>
        <charset val="134"/>
      </rPr>
      <t>越南河内市光明县富池社夏辉集路</t>
    </r>
    <r>
      <rPr>
        <sz val="11"/>
        <color rgb="FF000000"/>
        <rFont val="Times New Roman"/>
        <charset val="134"/>
      </rPr>
      <t xml:space="preserve"> 344 </t>
    </r>
    <r>
      <rPr>
        <sz val="11"/>
        <color rgb="FF000000"/>
        <rFont val="SimSun"/>
        <charset val="134"/>
      </rPr>
      <t>号</t>
    </r>
  </si>
  <si>
    <t>乙方（买方）在签署订单时向甲方支付总金额的 30% 作为预付款；其余 70% 须在甲方收货前全部付清。Bên B thanh toán cho Bên A trước 30% tổng giá trị đơn hàng ngay khi ký Đơn đặt hàng, 70% còn lại thanh toán hết trước khi nhận hàng.</t>
  </si>
  <si>
    <t>越南味丹股份有限公司(OEM)</t>
  </si>
  <si>
    <t>味丹(OEM)</t>
  </si>
  <si>
    <t>甲方（买方）须在乙方（卖方）交货前，预付（押金）100% 的订单金额。Bên A đặt cọc 100% giá trị đơn đặt hàng trước thời điểm bên B giao hàng.</t>
  </si>
  <si>
    <t>三品清单</t>
  </si>
  <si>
    <t>如遇三品缺货，直接取消发该三品，不作换货沟通，请知悉</t>
  </si>
  <si>
    <t>物料编码</t>
  </si>
  <si>
    <t>物料描述</t>
  </si>
  <si>
    <t>统一售价
(CNY)</t>
  </si>
  <si>
    <t xml:space="preserve">单位 </t>
  </si>
  <si>
    <t>毛重</t>
  </si>
  <si>
    <r>
      <rPr>
        <b/>
        <sz val="11"/>
        <color theme="1"/>
        <rFont val="等线"/>
        <charset val="134"/>
      </rPr>
      <t>体积(M</t>
    </r>
    <r>
      <rPr>
        <b/>
        <vertAlign val="superscript"/>
        <sz val="11"/>
        <color theme="1"/>
        <rFont val="等线"/>
        <charset val="134"/>
      </rPr>
      <t>3</t>
    </r>
    <r>
      <rPr>
        <b/>
        <sz val="11"/>
        <color theme="1"/>
        <rFont val="等线"/>
        <charset val="134"/>
      </rPr>
      <t>)</t>
    </r>
  </si>
  <si>
    <t>包装尺寸</t>
  </si>
  <si>
    <t>数量</t>
  </si>
  <si>
    <t>总毛重(KG)</t>
  </si>
  <si>
    <r>
      <rPr>
        <b/>
        <sz val="11"/>
        <color theme="1"/>
        <rFont val="等线"/>
        <charset val="134"/>
      </rPr>
      <t>总体积(M</t>
    </r>
    <r>
      <rPr>
        <b/>
        <vertAlign val="superscript"/>
        <sz val="11"/>
        <color theme="1"/>
        <rFont val="等线"/>
        <charset val="134"/>
      </rPr>
      <t>3</t>
    </r>
    <r>
      <rPr>
        <b/>
        <sz val="11"/>
        <color theme="1"/>
        <rFont val="等线"/>
        <charset val="134"/>
      </rPr>
      <t>)</t>
    </r>
  </si>
  <si>
    <t>海天白色味碟（2个/盒，60盒/箱）</t>
  </si>
  <si>
    <t>箱</t>
  </si>
  <si>
    <t>35*32.5*22.5cm</t>
  </si>
  <si>
    <t>自动开合桌上瓶（箱，48盒/箱）</t>
  </si>
  <si>
    <t>44*29*28.5cm</t>
  </si>
  <si>
    <t>能抗菌的洗洁布（200包/箱）</t>
  </si>
  <si>
    <t>65*32*28.5cm</t>
  </si>
  <si>
    <t>味极鲜覆膜环保购物袋（50个/扎）</t>
  </si>
  <si>
    <t>扎</t>
  </si>
  <si>
    <t>35*39*15cm</t>
  </si>
  <si>
    <t>黄豆酱覆膜环保购物袋（50个/扎）</t>
  </si>
  <si>
    <t>30*24*18cm</t>
  </si>
  <si>
    <t>海天福字购物袋（50个/扎）</t>
  </si>
  <si>
    <t>42*41*10.5cm</t>
  </si>
  <si>
    <t>出口版海天覆膜环保购物袋（扎，50个/扎）</t>
  </si>
  <si>
    <t>品牌帐篷（1套/箱）</t>
  </si>
  <si>
    <t>147*20*20cm</t>
  </si>
  <si>
    <t>酱油版大包装陈列架简易版（1套/箱）</t>
  </si>
  <si>
    <t>96*75*18cm</t>
  </si>
  <si>
    <t>蚝油版大包装陈列架简易版（1套/箱）</t>
  </si>
  <si>
    <t>海天阳光小店陈列架简易版（1套/箱）</t>
  </si>
  <si>
    <t>81*61*16cm</t>
  </si>
  <si>
    <t>大包装价格贴（200张/包）</t>
  </si>
  <si>
    <t>包</t>
  </si>
  <si>
    <t>18.5*17.2*0.1cm</t>
  </si>
  <si>
    <t>大包装爆炸贴（400张/包）</t>
  </si>
  <si>
    <t>精美娅米围裙（单套）</t>
  </si>
  <si>
    <t>件</t>
  </si>
  <si>
    <t>75*65*0.3cm</t>
  </si>
  <si>
    <t xml:space="preserve">海天蓝调系列精品围裙（件） </t>
  </si>
  <si>
    <t>60*1*72cm</t>
  </si>
  <si>
    <t xml:space="preserve">蚝油版厨师半身围裙（单件） </t>
  </si>
  <si>
    <t>25*30*0.5cm</t>
  </si>
  <si>
    <t xml:space="preserve">防水棉衣XL码（单件） </t>
  </si>
  <si>
    <t>78*70*10cm</t>
  </si>
  <si>
    <t xml:space="preserve">蚝油版总厨短袖厨师服XL码（单件） </t>
  </si>
  <si>
    <t>40*35*1cm</t>
  </si>
  <si>
    <t xml:space="preserve">蚝油版帮厨长袖厨师服XL码（单件） </t>
  </si>
  <si>
    <t xml:space="preserve">短袖厨师服 XL码（金色单排纽扣） </t>
  </si>
  <si>
    <t>30*40*0.5cm</t>
  </si>
  <si>
    <t>出口欧美版蚝油围裙（扎，10件/扎）</t>
  </si>
  <si>
    <t>23*23*8cm</t>
  </si>
  <si>
    <t>2024年小台历礼盒（箱，10盒/箱）</t>
  </si>
  <si>
    <t>28*28*6cm</t>
  </si>
  <si>
    <t>TOTAL</t>
  </si>
  <si>
    <t>Hàm chuyển số thành chữ</t>
  </si>
  <si>
    <t>Nhập số vào đây</t>
  </si>
  <si>
    <t>Tách từng vị trí</t>
  </si>
  <si>
    <t>Chọn đơn vị</t>
  </si>
  <si>
    <t>linh</t>
  </si>
  <si>
    <t>tỷ</t>
  </si>
  <si>
    <t xml:space="preserve"> triệu</t>
  </si>
  <si>
    <t>ngàn</t>
  </si>
  <si>
    <t>lẻ</t>
  </si>
  <si>
    <t>đồng</t>
  </si>
  <si>
    <t>Đọc ra chữ</t>
  </si>
  <si>
    <t>Viết hoa chữ cái đầu trong chuỗi</t>
  </si>
  <si>
    <t>Kết quả:</t>
  </si>
  <si>
    <r>
      <rPr>
        <b/>
        <sz val="10"/>
        <color rgb="FF000000"/>
        <rFont val="Times New Roman"/>
        <charset val="134"/>
      </rPr>
      <t>”</t>
    </r>
    <r>
      <rPr>
        <b/>
        <sz val="10"/>
        <color rgb="FF000000"/>
        <rFont val="宋体"/>
        <charset val="134"/>
      </rPr>
      <t>付款方式</t>
    </r>
    <r>
      <rPr>
        <b/>
        <sz val="10"/>
        <color rgb="FF000000"/>
        <rFont val="Times New Roman"/>
        <charset val="134"/>
      </rPr>
      <t>”</t>
    </r>
    <r>
      <rPr>
        <b/>
        <sz val="10"/>
        <color rgb="FF000000"/>
        <rFont val="宋体"/>
        <charset val="134"/>
      </rPr>
      <t>条款模板</t>
    </r>
  </si>
  <si>
    <t>先款后货</t>
  </si>
  <si>
    <r>
      <rPr>
        <sz val="10"/>
        <color rgb="FF000000"/>
        <rFont val="宋体"/>
        <charset val="134"/>
      </rPr>
      <t>自买方同意本确认书之日起</t>
    </r>
    <r>
      <rPr>
        <sz val="10"/>
        <color rgb="FF000000"/>
        <rFont val="Times New Roman"/>
        <charset val="134"/>
      </rPr>
      <t>3</t>
    </r>
    <r>
      <rPr>
        <sz val="10"/>
        <color rgb="FF000000"/>
        <rFont val="宋体"/>
        <charset val="134"/>
      </rPr>
      <t>个工作日内，买方应以电汇方式向卖方支付上述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的全部金额。卖方将在收到足额付款后安排生产及海关检验检疫手续（如适用）。</t>
    </r>
    <r>
      <rPr>
        <sz val="10"/>
        <color rgb="FF000000"/>
        <rFont val="Times New Roman"/>
        <charset val="134"/>
      </rPr>
      <t xml:space="preserve">
Within 3 business days after this Confirmation is accepted by the Buyer, the Buyer shall pay the Seller the full amount of the aforementioned Total Value via telegraphic transfer. The Seller will arrange for production, and Customs inspection and quarantine procedures (if applicable), after receipt of full payment.</t>
    </r>
  </si>
  <si>
    <r>
      <rPr>
        <sz val="10"/>
        <color rgb="FF000000"/>
        <rFont val="宋体"/>
        <charset val="134"/>
      </rPr>
      <t>自买方同意本确认书之日起</t>
    </r>
    <r>
      <rPr>
        <sz val="10"/>
        <color rgb="FF000000"/>
        <rFont val="Times New Roman"/>
        <charset val="134"/>
      </rPr>
      <t>3</t>
    </r>
    <r>
      <rPr>
        <sz val="10"/>
        <color rgb="FF000000"/>
        <rFont val="宋体"/>
        <charset val="134"/>
      </rPr>
      <t>个工作日内，买方应以电汇方式向卖方支付上述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的全部金额。卖方将在收到足额付款后安排生产及海关检验检疫手续（如适用）。</t>
    </r>
    <r>
      <rPr>
        <sz val="10"/>
        <color rgb="FF000000"/>
        <rFont val="Times New Roman"/>
        <charset val="134"/>
      </rPr>
      <t xml:space="preserve"> 
Trong vòng 03 ngày làm việc kể từ ngày Bên Mua chấp thuận Bản Xác nhận này, Bên Mua phải thanh toán toàn bộ số tiền của "Tổng giá trị" nói trên cho Bên Bán bằng hình thức chuyển khoản bằng điện (T/T). Bên Bán sẽ sắp xếp sản xuất và các thủ tục kiểm tra, kiểm dịch hải quan (nếu có) sau khi nhận được thanh toán đầy đủ.</t>
    </r>
  </si>
  <si>
    <r>
      <rPr>
        <sz val="10"/>
        <color rgb="FFFF0000"/>
        <rFont val="宋体"/>
        <charset val="134"/>
      </rPr>
      <t>先款后货</t>
    </r>
    <r>
      <rPr>
        <sz val="10"/>
        <color rgb="FFFF0000"/>
        <rFont val="Times New Roman"/>
        <charset val="134"/>
      </rPr>
      <t>RDC</t>
    </r>
  </si>
  <si>
    <r>
      <rPr>
        <sz val="10"/>
        <color rgb="FFFF0000"/>
        <rFont val="Times New Roman"/>
        <charset val="134"/>
      </rPr>
      <t>RDC</t>
    </r>
    <r>
      <rPr>
        <sz val="10"/>
        <color rgb="FFFF0000"/>
        <rFont val="宋体"/>
        <charset val="134"/>
      </rPr>
      <t>仓库发运日</t>
    </r>
  </si>
  <si>
    <r>
      <rPr>
        <sz val="10"/>
        <color rgb="FFFF0000"/>
        <rFont val="宋体"/>
        <charset val="134"/>
      </rPr>
      <t>自买方同意本确认书之日起</t>
    </r>
    <r>
      <rPr>
        <sz val="10"/>
        <color rgb="FFFF0000"/>
        <rFont val="Times New Roman"/>
        <charset val="134"/>
      </rPr>
      <t>3</t>
    </r>
    <r>
      <rPr>
        <sz val="10"/>
        <color rgb="FFFF0000"/>
        <rFont val="宋体"/>
        <charset val="134"/>
      </rPr>
      <t>个工作日内，买方应以电汇方式向卖方支付上述</t>
    </r>
    <r>
      <rPr>
        <sz val="10"/>
        <color rgb="FFFF0000"/>
        <rFont val="Times New Roman"/>
        <charset val="134"/>
      </rPr>
      <t>“</t>
    </r>
    <r>
      <rPr>
        <sz val="10"/>
        <color rgb="FFFF0000"/>
        <rFont val="宋体"/>
        <charset val="134"/>
      </rPr>
      <t>总值</t>
    </r>
    <r>
      <rPr>
        <sz val="10"/>
        <color rgb="FFFF0000"/>
        <rFont val="Times New Roman"/>
        <charset val="134"/>
      </rPr>
      <t>”</t>
    </r>
    <r>
      <rPr>
        <sz val="10"/>
        <color rgb="FFFF0000"/>
        <rFont val="宋体"/>
        <charset val="134"/>
      </rPr>
      <t>的全部金额。卖方将在收到足额付款后的【</t>
    </r>
    <r>
      <rPr>
        <sz val="10"/>
        <color rgb="FFFF0000"/>
        <rFont val="Times New Roman"/>
        <charset val="134"/>
      </rPr>
      <t>X</t>
    </r>
    <r>
      <rPr>
        <sz val="10"/>
        <color rgb="FFFF0000"/>
        <rFont val="宋体"/>
        <charset val="134"/>
      </rPr>
      <t>】个工作日内，安排从其在越南境内的</t>
    </r>
    <r>
      <rPr>
        <sz val="10"/>
        <color rgb="FFFF0000"/>
        <rFont val="Times New Roman"/>
        <charset val="134"/>
      </rPr>
      <t>RDC</t>
    </r>
    <r>
      <rPr>
        <sz val="10"/>
        <color rgb="FFFF0000"/>
        <rFont val="宋体"/>
        <charset val="134"/>
      </rPr>
      <t>仓库发货。</t>
    </r>
    <r>
      <rPr>
        <sz val="10"/>
        <color rgb="FFFF0000"/>
        <rFont val="Times New Roman"/>
        <charset val="134"/>
      </rPr>
      <t xml:space="preserve">
Within 3 business days after this Confirmation is accepted by the Buyer, the Buyer shall pay the Seller the full amount of the aforementioned "Total Value" via telegraphic transfer (T/T). The Seller will arrange to dispatch the Products from its RDC warehouse in Vietnam within </t>
    </r>
    <r>
      <rPr>
        <sz val="10"/>
        <color rgb="FFFF0000"/>
        <rFont val="宋体"/>
        <charset val="134"/>
      </rPr>
      <t>【</t>
    </r>
    <r>
      <rPr>
        <sz val="10"/>
        <color rgb="FFFF0000"/>
        <rFont val="Times New Roman"/>
        <charset val="134"/>
      </rPr>
      <t>X</t>
    </r>
    <r>
      <rPr>
        <sz val="10"/>
        <color rgb="FFFF0000"/>
        <rFont val="宋体"/>
        <charset val="134"/>
      </rPr>
      <t>】</t>
    </r>
    <r>
      <rPr>
        <sz val="10"/>
        <color rgb="FFFF0000"/>
        <rFont val="Times New Roman"/>
        <charset val="134"/>
      </rPr>
      <t xml:space="preserve"> business days upon receipt of the full payment.</t>
    </r>
  </si>
  <si>
    <r>
      <rPr>
        <sz val="10"/>
        <color rgb="FFFF0000"/>
        <rFont val="宋体"/>
        <charset val="134"/>
      </rPr>
      <t>自买方同意本确认书之日起</t>
    </r>
    <r>
      <rPr>
        <sz val="10"/>
        <color rgb="FFFF0000"/>
        <rFont val="Times New Roman"/>
        <charset val="134"/>
      </rPr>
      <t>3</t>
    </r>
    <r>
      <rPr>
        <sz val="10"/>
        <color rgb="FFFF0000"/>
        <rFont val="宋体"/>
        <charset val="134"/>
      </rPr>
      <t>个工作日内，买方应以电汇方式向卖方支付上述</t>
    </r>
    <r>
      <rPr>
        <sz val="10"/>
        <color rgb="FFFF0000"/>
        <rFont val="Times New Roman"/>
        <charset val="134"/>
      </rPr>
      <t>“</t>
    </r>
    <r>
      <rPr>
        <sz val="10"/>
        <color rgb="FFFF0000"/>
        <rFont val="宋体"/>
        <charset val="134"/>
      </rPr>
      <t>总值</t>
    </r>
    <r>
      <rPr>
        <sz val="10"/>
        <color rgb="FFFF0000"/>
        <rFont val="Times New Roman"/>
        <charset val="134"/>
      </rPr>
      <t>”</t>
    </r>
    <r>
      <rPr>
        <sz val="10"/>
        <color rgb="FFFF0000"/>
        <rFont val="宋体"/>
        <charset val="134"/>
      </rPr>
      <t>的全部金额。卖方将在收到足额付款后的【</t>
    </r>
    <r>
      <rPr>
        <sz val="10"/>
        <color rgb="FFFF0000"/>
        <rFont val="Times New Roman"/>
        <charset val="134"/>
      </rPr>
      <t>X</t>
    </r>
    <r>
      <rPr>
        <sz val="10"/>
        <color rgb="FFFF0000"/>
        <rFont val="宋体"/>
        <charset val="134"/>
      </rPr>
      <t>】个工作日内，安排从其在越南境内的</t>
    </r>
    <r>
      <rPr>
        <sz val="10"/>
        <color rgb="FFFF0000"/>
        <rFont val="Times New Roman"/>
        <charset val="134"/>
      </rPr>
      <t>RDC</t>
    </r>
    <r>
      <rPr>
        <sz val="10"/>
        <color rgb="FFFF0000"/>
        <rFont val="宋体"/>
        <charset val="134"/>
      </rPr>
      <t>仓库发货。</t>
    </r>
    <r>
      <rPr>
        <sz val="10"/>
        <color rgb="FFFF0000"/>
        <rFont val="Times New Roman"/>
        <charset val="134"/>
      </rPr>
      <t xml:space="preserve">
Trong vòng 03 ngày làm việc kể từ ngày Bên Mua chấp thuận Bản Xác nhận này, Bên Mua phải thanh toán toàn bộ số tiền của "Tổng giá trị" nói trên cho Bên Bán bằng hình thức chuyển khoản bằng điện (T/T). Bên Bán sẽ sắp xếp xuất hàng từ kho RDC của mình tại Việt Nam trong vòng </t>
    </r>
    <r>
      <rPr>
        <sz val="10"/>
        <color rgb="FFFF0000"/>
        <rFont val="宋体"/>
        <charset val="134"/>
      </rPr>
      <t>【</t>
    </r>
    <r>
      <rPr>
        <sz val="10"/>
        <color rgb="FFFF0000"/>
        <rFont val="Times New Roman"/>
        <charset val="134"/>
      </rPr>
      <t>X</t>
    </r>
    <r>
      <rPr>
        <sz val="10"/>
        <color rgb="FFFF0000"/>
        <rFont val="宋体"/>
        <charset val="134"/>
      </rPr>
      <t>】</t>
    </r>
    <r>
      <rPr>
        <sz val="10"/>
        <color rgb="FFFF0000"/>
        <rFont val="Times New Roman"/>
        <charset val="134"/>
      </rPr>
      <t xml:space="preserve"> ngày làm việc kể từ khi nhận được thanh toán đầy đủ.</t>
    </r>
  </si>
  <si>
    <t>送达约定到货地点</t>
  </si>
  <si>
    <r>
      <rPr>
        <sz val="10"/>
        <color rgb="FFFF0000"/>
        <rFont val="宋体"/>
        <charset val="134"/>
      </rPr>
      <t>订单生效之日起14个工作日内，乙方应支付订单金额的【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14 business days after the effective date of the order, the Buyer shall pay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</si>
  <si>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订单生效之日起14个工作日内，乙方应支付订单金额的【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14 ngày làm việc kể từ ngày đơn hàng có hiệu lực, Bên Mua phải thanh toán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</si>
  <si>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3 business days after the effective date of the order, the Buyer shall pay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</si>
  <si>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100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03 ngày làm việc kể từ ngày đơn hàng có hiệu lực, Bên Mua phải thanh toán </t>
    </r>
    <r>
      <rPr>
        <sz val="10"/>
        <color rgb="FFFF0000"/>
        <rFont val="宋体"/>
        <charset val="134"/>
      </rPr>
      <t>【</t>
    </r>
    <r>
      <rPr>
        <sz val="10"/>
        <color rgb="FFFF0000"/>
        <rFont val="Times New Roman"/>
        <charset val="134"/>
      </rPr>
      <t>100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</si>
  <si>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t>赊销</t>
  </si>
  <si>
    <r>
      <rPr>
        <sz val="10"/>
        <color rgb="FF000000"/>
        <rFont val="宋体"/>
        <charset val="134"/>
      </rPr>
      <t>卖方工厂装货日后</t>
    </r>
    <r>
      <rPr>
        <sz val="10"/>
        <color rgb="FF000000"/>
        <rFont val="Times New Roman"/>
        <charset val="134"/>
      </rPr>
      <t>XX</t>
    </r>
    <r>
      <rPr>
        <sz val="10"/>
        <color rgb="FF000000"/>
        <rFont val="宋体"/>
        <charset val="134"/>
      </rPr>
      <t>天</t>
    </r>
  </si>
  <si>
    <r>
      <rPr>
        <sz val="10"/>
        <color rgb="FF000000"/>
        <rFont val="宋体"/>
        <charset val="134"/>
      </rPr>
      <t>自卖方发货之日起【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after the date on which the Products are dispatched by the Seller, the Buyer shall pay the Seller the full amount of the aforementioned Total Value via telegraphic transfer.</t>
    </r>
  </si>
  <si>
    <r>
      <rPr>
        <sz val="10"/>
        <color rgb="FF000000"/>
        <rFont val="宋体"/>
        <charset val="134"/>
      </rPr>
      <t>自卖方发货之日起【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Bên Bán giao hàng (phát hàng), Bên Mua phải thanh toán toàn bộ số tiền của "Tổng giá trị" nói trên cho Bên Bán bằng hình thức chuyển khoản bằng điện (T/T).</t>
    </r>
  </si>
  <si>
    <r>
      <rPr>
        <sz val="10"/>
        <color rgb="FF000000"/>
        <rFont val="宋体"/>
        <charset val="134"/>
      </rPr>
      <t>提单装船日后</t>
    </r>
    <r>
      <rPr>
        <sz val="10"/>
        <color rgb="FF000000"/>
        <rFont val="Times New Roman"/>
        <charset val="134"/>
      </rPr>
      <t>XX</t>
    </r>
    <r>
      <rPr>
        <sz val="10"/>
        <color rgb="FF000000"/>
        <rFont val="宋体"/>
        <charset val="134"/>
      </rPr>
      <t>天</t>
    </r>
  </si>
  <si>
    <r>
      <rPr>
        <sz val="10"/>
        <color rgb="FF000000"/>
        <rFont val="宋体"/>
        <charset val="134"/>
      </rPr>
      <t>自提单装船日起【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 </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after the date on which the Products are laden on board the vessel in accordance with the Bill of Lading, the Buyer shall pay the Seller the full amount of the aforementioned Total Value via telegraphic transfer.</t>
    </r>
  </si>
  <si>
    <r>
      <rPr>
        <sz val="10"/>
        <color rgb="FF000000"/>
        <rFont val="宋体"/>
        <charset val="134"/>
      </rPr>
      <t>自提单装船日起【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Sản phẩm được xếp lên tàu theo Vận đơn (Bill of Lading), Bên Mua phải thanh toán toàn bộ số tiền của "Tổng giá trị" nói trên cho Bên Bán bằng hình thức chuyển khoản bằng điện (T/T).</t>
    </r>
  </si>
  <si>
    <r>
      <rPr>
        <sz val="10"/>
        <color rgb="FF000000"/>
        <rFont val="Times New Roman"/>
        <charset val="134"/>
      </rPr>
      <t>RDC</t>
    </r>
    <r>
      <rPr>
        <sz val="10"/>
        <color rgb="FF000000"/>
        <rFont val="宋体"/>
        <charset val="134"/>
      </rPr>
      <t>仓库发运日</t>
    </r>
  </si>
  <si>
    <r>
      <rPr>
        <sz val="10"/>
        <color rgb="FF000000"/>
        <rFont val="宋体"/>
        <charset val="134"/>
      </rPr>
      <t>自卖方从其在越南境内的</t>
    </r>
    <r>
      <rPr>
        <sz val="10"/>
        <color rgb="FF000000"/>
        <rFont val="Times New Roman"/>
        <charset val="134"/>
      </rPr>
      <t>RDC</t>
    </r>
    <r>
      <rPr>
        <sz val="10"/>
        <color rgb="FF000000"/>
        <rFont val="宋体"/>
        <charset val="134"/>
      </rPr>
      <t>仓库发货之日起【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 </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from the date on which the Seller ships the Products from its RDC warehouse in Vietnam, the Buyer shall pay the Seller the full amount of the aforementioned Total Value via telegraphic transfer.</t>
    </r>
  </si>
  <si>
    <r>
      <rPr>
        <sz val="10"/>
        <color rgb="FF000000"/>
        <rFont val="宋体"/>
        <charset val="134"/>
      </rPr>
      <t>自卖方从其在越南境内的</t>
    </r>
    <r>
      <rPr>
        <sz val="10"/>
        <color rgb="FF000000"/>
        <rFont val="Times New Roman"/>
        <charset val="134"/>
      </rPr>
      <t>RDC</t>
    </r>
    <r>
      <rPr>
        <sz val="10"/>
        <color rgb="FF000000"/>
        <rFont val="宋体"/>
        <charset val="134"/>
      </rPr>
      <t>仓库发货之日起【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Bên Bán xuất hàng từ kho RDC của mình tại Việt Nam, Bên Mua phải thanh toán toàn bộ số tiền của "Tổng giá trị" nói trên cho Bên Bán bằng hình thức chuyển khoản bằng điện (T/T).</t>
    </r>
  </si>
  <si>
    <r>
      <rPr>
        <sz val="10"/>
        <color rgb="FF000000"/>
        <rFont val="宋体"/>
        <charset val="134"/>
      </rPr>
      <t>自卖方将产品送达至到货地点之日起【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Within </t>
    </r>
    <r>
      <rPr>
        <sz val="10"/>
        <color rgb="FF000000"/>
        <rFont val="宋体"/>
        <charset val="134"/>
      </rPr>
      <t>【</t>
    </r>
    <r>
      <rPr>
        <sz val="10"/>
        <color rgb="FF000000"/>
        <rFont val="Times New Roman"/>
        <charset val="134"/>
      </rPr>
      <t>x days</t>
    </r>
    <r>
      <rPr>
        <sz val="10"/>
        <color rgb="FF000000"/>
        <rFont val="宋体"/>
        <charset val="134"/>
      </rPr>
      <t>】</t>
    </r>
    <r>
      <rPr>
        <sz val="10"/>
        <color rgb="FF000000"/>
        <rFont val="Times New Roman"/>
        <charset val="134"/>
      </rPr>
      <t xml:space="preserve"> from the date on which the Seller delivers the Products to the Delivery Location, the Buyer shall pay the Seller the full amount of the aforementioned Total Value via telegraphic transfer.</t>
    </r>
  </si>
  <si>
    <r>
      <rPr>
        <sz val="10"/>
        <color rgb="FF000000"/>
        <rFont val="宋体"/>
        <charset val="134"/>
      </rPr>
      <t>自卖方将产品送达至约定到货地点之日起【</t>
    </r>
    <r>
      <rPr>
        <sz val="10"/>
        <color rgb="FF000000"/>
        <rFont val="Times New Roman"/>
        <charset val="134"/>
      </rPr>
      <t>X</t>
    </r>
    <r>
      <rPr>
        <sz val="10"/>
        <color rgb="FF000000"/>
        <rFont val="宋体"/>
        <charset val="134"/>
      </rPr>
      <t>】日内，买方应以电汇方式向卖方支付上述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t>
    </r>
    <r>
      <rPr>
        <sz val="10"/>
        <color rgb="FF000000"/>
        <rFont val="Times New Roman"/>
        <charset val="134"/>
      </rPr>
      <t xml:space="preserve"> 
Trong vòng </t>
    </r>
    <r>
      <rPr>
        <sz val="10"/>
        <color rgb="FF000000"/>
        <rFont val="宋体"/>
        <charset val="134"/>
      </rPr>
      <t>【</t>
    </r>
    <r>
      <rPr>
        <sz val="10"/>
        <color rgb="FF000000"/>
        <rFont val="Times New Roman"/>
        <charset val="134"/>
      </rPr>
      <t>X</t>
    </r>
    <r>
      <rPr>
        <sz val="10"/>
        <color rgb="FF000000"/>
        <rFont val="宋体"/>
        <charset val="134"/>
      </rPr>
      <t>】</t>
    </r>
    <r>
      <rPr>
        <sz val="10"/>
        <color rgb="FF000000"/>
        <rFont val="Times New Roman"/>
        <charset val="134"/>
      </rPr>
      <t xml:space="preserve"> ngày kể từ ngày Bên Bán giao Sản phẩm đến Địa điểm giao hàng đã thỏa thuận, Bên Mua phải thanh toán toàn bộ số tiền của "Tổng giá trị" nói trên cho Bên Bán bằng hình thức chuyển khoản bằng điện (T/T).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</si>
  <si>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30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3 business days after the effective date of the order, the Buyer shall pay </t>
    </r>
    <r>
      <rPr>
        <sz val="10"/>
        <color rgb="FFFF0000"/>
        <rFont val="宋体"/>
        <charset val="134"/>
      </rPr>
      <t>【</t>
    </r>
    <r>
      <rPr>
        <sz val="10"/>
        <color rgb="FFFF0000"/>
        <rFont val="Times New Roman"/>
        <charset val="134"/>
      </rPr>
      <t>30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</si>
  <si>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30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03 ngày làm việc kể từ ngày đơn hàng có hiệu lực, Bên Mua phải thanh toán </t>
    </r>
    <r>
      <rPr>
        <sz val="10"/>
        <color rgb="FFFF0000"/>
        <rFont val="宋体"/>
        <charset val="134"/>
      </rPr>
      <t>【</t>
    </r>
    <r>
      <rPr>
        <sz val="10"/>
        <color rgb="FFFF0000"/>
        <rFont val="Times New Roman"/>
        <charset val="134"/>
      </rPr>
      <t>30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</si>
  <si>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50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Within 3 business days after the effective date of the order, the Buyer shall pay </t>
    </r>
    <r>
      <rPr>
        <sz val="10"/>
        <color rgb="FFFF0000"/>
        <rFont val="宋体"/>
        <charset val="134"/>
      </rPr>
      <t>【</t>
    </r>
    <r>
      <rPr>
        <sz val="10"/>
        <color rgb="FFFF0000"/>
        <rFont val="Times New Roman"/>
        <charset val="134"/>
      </rPr>
      <t>50</t>
    </r>
    <r>
      <rPr>
        <sz val="10"/>
        <color rgb="FFFF0000"/>
        <rFont val="宋体"/>
        <charset val="134"/>
      </rPr>
      <t>】</t>
    </r>
    <r>
      <rPr>
        <sz val="10"/>
        <color rgb="FFFF0000"/>
        <rFont val="Times New Roman"/>
        <charset val="134"/>
      </rPr>
      <t>% of the order amount as advance payment; within 3 business days after the Products arrive at the port/station of destination in Vietnam, the Buyer shall pay the remaining full amount of the order. The Seller will deliver the Products to the receiving location designated by the Buyer upon receipt of 100% of the order payment.</t>
    </r>
  </si>
  <si>
    <r>
      <rPr>
        <sz val="10"/>
        <color rgb="FFFF0000"/>
        <rFont val="宋体"/>
        <charset val="134"/>
      </rPr>
      <t>订单生效之日起</t>
    </r>
    <r>
      <rPr>
        <sz val="10"/>
        <color rgb="FFFF0000"/>
        <rFont val="Times New Roman"/>
        <charset val="134"/>
      </rPr>
      <t>3</t>
    </r>
    <r>
      <rPr>
        <sz val="10"/>
        <color rgb="FFFF0000"/>
        <rFont val="宋体"/>
        <charset val="134"/>
      </rPr>
      <t>个工作日内，乙方应支付订单金额的【</t>
    </r>
    <r>
      <rPr>
        <sz val="10"/>
        <color rgb="FFFF0000"/>
        <rFont val="Times New Roman"/>
        <charset val="134"/>
      </rPr>
      <t>50</t>
    </r>
    <r>
      <rPr>
        <sz val="10"/>
        <color rgb="FFFF0000"/>
        <rFont val="宋体"/>
        <charset val="134"/>
      </rPr>
      <t>】</t>
    </r>
    <r>
      <rPr>
        <sz val="10"/>
        <color rgb="FFFF0000"/>
        <rFont val="Times New Roman"/>
        <charset val="134"/>
      </rPr>
      <t>%</t>
    </r>
    <r>
      <rPr>
        <sz val="10"/>
        <color rgb="FFFF0000"/>
        <rFont val="宋体"/>
        <charset val="134"/>
      </rPr>
      <t>作为预付款；自产品到达越南目的港</t>
    </r>
    <r>
      <rPr>
        <sz val="10"/>
        <color rgb="FFFF0000"/>
        <rFont val="Times New Roman"/>
        <charset val="134"/>
      </rPr>
      <t>/</t>
    </r>
    <r>
      <rPr>
        <sz val="10"/>
        <color rgb="FFFF0000"/>
        <rFont val="宋体"/>
        <charset val="134"/>
      </rPr>
      <t>站后</t>
    </r>
    <r>
      <rPr>
        <sz val="10"/>
        <color rgb="FFFF0000"/>
        <rFont val="Times New Roman"/>
        <charset val="134"/>
      </rPr>
      <t>3</t>
    </r>
    <r>
      <rPr>
        <sz val="10"/>
        <color rgb="FFFF0000"/>
        <rFont val="宋体"/>
        <charset val="134"/>
      </rPr>
      <t>个工作日内，乙方应支付订单金额剩余的全部款项。甲方将在收到订单</t>
    </r>
    <r>
      <rPr>
        <sz val="10"/>
        <color rgb="FFFF0000"/>
        <rFont val="Times New Roman"/>
        <charset val="134"/>
      </rPr>
      <t>100%</t>
    </r>
    <r>
      <rPr>
        <sz val="10"/>
        <color rgb="FFFF0000"/>
        <rFont val="宋体"/>
        <charset val="134"/>
      </rPr>
      <t>款项后送货到乙方指定的收货地点。</t>
    </r>
    <r>
      <rPr>
        <sz val="10"/>
        <color rgb="FFFF0000"/>
        <rFont val="Times New Roman"/>
        <charset val="134"/>
      </rPr>
      <t xml:space="preserve">
Trong vòng 03 ngày làm việc kể từ ngày đơn hàng có hiệu lực, Bên Mua phải thanh toán </t>
    </r>
    <r>
      <rPr>
        <sz val="10"/>
        <color rgb="FFFF0000"/>
        <rFont val="宋体"/>
        <charset val="134"/>
      </rPr>
      <t>【</t>
    </r>
    <r>
      <rPr>
        <sz val="10"/>
        <color rgb="FFFF0000"/>
        <rFont val="Times New Roman"/>
        <charset val="134"/>
      </rPr>
      <t>50</t>
    </r>
    <r>
      <rPr>
        <sz val="10"/>
        <color rgb="FFFF0000"/>
        <rFont val="宋体"/>
        <charset val="134"/>
      </rPr>
      <t>】</t>
    </r>
    <r>
      <rPr>
        <sz val="10"/>
        <color rgb="FFFF0000"/>
        <rFont val="Times New Roman"/>
        <charset val="134"/>
      </rPr>
      <t>%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t>
    </r>
  </si>
  <si>
    <t>实际以信用证要求为准</t>
  </si>
  <si>
    <r>
      <rPr>
        <sz val="10"/>
        <color rgb="FF000000"/>
        <rFont val="宋体"/>
        <charset val="134"/>
      </rPr>
      <t>买方应使用信用证向卖方支付上述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的全部金额，详细约定见卖方同意的信用证内容以及双方就信用证另行签订的《补充协议》（具体名称以双方实际签订的协议为准）。</t>
    </r>
    <r>
      <rPr>
        <sz val="10"/>
        <color rgb="FF000000"/>
        <rFont val="Times New Roman"/>
        <charset val="134"/>
      </rPr>
      <t xml:space="preserve">
The Buyer shall pay the Seller the full amount of the aforementioned Total Value via letter of credit, in accordance with the content of the letter of credit agreed by the Seller and the Supplementary Agreement (the specific title of which shall be subject to the actual agreement concluded) separately entered into by the Parties regarding payment via letter of credit.</t>
    </r>
  </si>
  <si>
    <r>
      <rPr>
        <sz val="10"/>
        <color rgb="FF000000"/>
        <rFont val="宋体"/>
        <charset val="134"/>
      </rPr>
      <t>买方应使用信用证向卖方支付上述</t>
    </r>
    <r>
      <rPr>
        <sz val="10"/>
        <color rgb="FF000000"/>
        <rFont val="Times New Roman"/>
        <charset val="134"/>
      </rPr>
      <t>“</t>
    </r>
    <r>
      <rPr>
        <sz val="10"/>
        <color rgb="FF000000"/>
        <rFont val="宋体"/>
        <charset val="134"/>
      </rPr>
      <t>总值</t>
    </r>
    <r>
      <rPr>
        <sz val="10"/>
        <color rgb="FF000000"/>
        <rFont val="Times New Roman"/>
        <charset val="134"/>
      </rPr>
      <t>”</t>
    </r>
    <r>
      <rPr>
        <sz val="10"/>
        <color rgb="FF000000"/>
        <rFont val="宋体"/>
        <charset val="134"/>
      </rPr>
      <t>的全部金额，详细约定见卖方同意的信用证内容以及双方就信用证另行签订的《补充协议》（具体名称以双方实际签订的协议为准）。</t>
    </r>
    <r>
      <rPr>
        <sz val="10"/>
        <color rgb="FF000000"/>
        <rFont val="Times New Roman"/>
        <charset val="134"/>
      </rPr>
      <t xml:space="preserve"> 
Bên Mua phải thanh toán toàn bộ số tiền của "Tổng giá trị" nói trên cho Bên Bán bằng Thư tín dụng (L/C), chi tiết quy định theo nội dung L/C đã được Bên Bán chấp thuận và "Thỏa thuận bổ sung" (tên gọi cụ thể sẽ theo hợp đồng thực tế được ký kết giữa hai bên) được hai Bên ký kết riêng liên quan đến việc thanh toán bằng L/C.</t>
    </r>
  </si>
  <si>
    <t>不作为一级经销商合作。Not cooperating as a Tier 1 distributor.</t>
  </si>
  <si>
    <r>
      <rPr>
        <sz val="12.75"/>
        <color rgb="FF1F1F1F"/>
        <rFont val="宋体"/>
        <charset val="134"/>
      </rPr>
      <t>甲方（买方）须在乙方（卖方）交货前，预付（押金）</t>
    </r>
    <r>
      <rPr>
        <sz val="12.75"/>
        <color rgb="FF1F1F1F"/>
        <rFont val="Times New Roman"/>
        <charset val="134"/>
      </rPr>
      <t xml:space="preserve">100% </t>
    </r>
    <r>
      <rPr>
        <sz val="12.75"/>
        <color rgb="FF1F1F1F"/>
        <rFont val="宋体"/>
        <charset val="134"/>
      </rPr>
      <t>的订单金额。</t>
    </r>
    <r>
      <rPr>
        <sz val="12.75"/>
        <color rgb="FF1F1F1F"/>
        <rFont val="Times New Roman"/>
        <charset val="134"/>
      </rPr>
      <t>Bên A đặt cọc 100% giá trị đơn đặt hàng trước thời điểm bên B giao hàng.</t>
    </r>
  </si>
  <si>
    <r>
      <rPr>
        <b/>
        <sz val="10"/>
        <color theme="1"/>
        <rFont val="等线"/>
        <charset val="134"/>
      </rPr>
      <t>柜量</t>
    </r>
  </si>
  <si>
    <t>1*20'</t>
  </si>
  <si>
    <r>
      <rPr>
        <b/>
        <sz val="10"/>
        <color theme="1"/>
        <rFont val="等线"/>
        <charset val="134"/>
      </rPr>
      <t>买方名称</t>
    </r>
    <r>
      <rPr>
        <b/>
        <sz val="10"/>
        <color theme="1"/>
        <rFont val="Times New Roman"/>
        <charset val="134"/>
      </rPr>
      <t>(</t>
    </r>
    <r>
      <rPr>
        <b/>
        <sz val="10"/>
        <color theme="1"/>
        <rFont val="等线"/>
        <charset val="134"/>
      </rPr>
      <t>中文</t>
    </r>
    <r>
      <rPr>
        <b/>
        <sz val="10"/>
        <color theme="1"/>
        <rFont val="Times New Roman"/>
        <charset val="134"/>
      </rPr>
      <t>)</t>
    </r>
  </si>
  <si>
    <r>
      <rPr>
        <sz val="10"/>
        <color theme="1"/>
        <rFont val="等线"/>
        <charset val="134"/>
      </rPr>
      <t>客户编号</t>
    </r>
  </si>
  <si>
    <t xml:space="preserve">Số tài khoản công ty: </t>
  </si>
  <si>
    <t>区域</t>
  </si>
  <si>
    <r>
      <rPr>
        <b/>
        <sz val="10"/>
        <color theme="1"/>
        <rFont val="等线"/>
        <charset val="134"/>
      </rPr>
      <t>订单备注</t>
    </r>
  </si>
  <si>
    <r>
      <rPr>
        <sz val="10"/>
        <color theme="1"/>
        <rFont val="等线"/>
        <charset val="134"/>
      </rPr>
      <t>如有特殊装柜要求或者额外的订单要求，请在此处做好备注说明</t>
    </r>
  </si>
  <si>
    <r>
      <rPr>
        <sz val="10"/>
        <color theme="1"/>
        <rFont val="等线"/>
        <charset val="134"/>
      </rPr>
      <t>请选择</t>
    </r>
  </si>
  <si>
    <t>请选择</t>
  </si>
  <si>
    <t>订单号</t>
  </si>
  <si>
    <t>和天贸系统中海外订单号码一致</t>
  </si>
  <si>
    <r>
      <rPr>
        <b/>
        <sz val="10"/>
        <color theme="1"/>
        <rFont val="等线"/>
        <charset val="134"/>
      </rPr>
      <t>买方名称</t>
    </r>
    <r>
      <rPr>
        <b/>
        <sz val="10"/>
        <color theme="1"/>
        <rFont val="Times New Roman"/>
        <charset val="134"/>
      </rPr>
      <t>(VN)</t>
    </r>
  </si>
  <si>
    <r>
      <rPr>
        <sz val="10"/>
        <color theme="1"/>
        <rFont val="等线"/>
        <charset val="134"/>
      </rPr>
      <t>客户税号</t>
    </r>
  </si>
  <si>
    <r>
      <rPr>
        <sz val="10"/>
        <color theme="1"/>
        <rFont val="等线"/>
        <charset val="134"/>
      </rPr>
      <t>公司账号：</t>
    </r>
  </si>
  <si>
    <t xml:space="preserve">Số 132 đường Trần Phú, Phường Kỳ Lừa, Lạng Sơn	</t>
  </si>
  <si>
    <t>手动选择仓库地址，如果没有正确地址可以选择，请告知</t>
  </si>
  <si>
    <t>1*40'</t>
  </si>
  <si>
    <t>C&amp;F</t>
  </si>
  <si>
    <r>
      <rPr>
        <sz val="10"/>
        <color theme="1"/>
        <rFont val="等线"/>
        <charset val="134"/>
      </rPr>
      <t>海运</t>
    </r>
  </si>
  <si>
    <r>
      <rPr>
        <sz val="10"/>
        <color theme="1"/>
        <rFont val="宋体"/>
        <charset val="134"/>
      </rPr>
      <t>专柜</t>
    </r>
    <r>
      <rPr>
        <sz val="10"/>
        <color theme="1"/>
        <rFont val="Arial Narrow"/>
        <charset val="134"/>
      </rPr>
      <t>8</t>
    </r>
    <r>
      <rPr>
        <sz val="10"/>
        <color theme="1"/>
        <rFont val="宋体"/>
        <charset val="134"/>
      </rPr>
      <t>送</t>
    </r>
    <r>
      <rPr>
        <sz val="10"/>
        <color theme="1"/>
        <rFont val="Arial Narrow"/>
        <charset val="134"/>
      </rPr>
      <t>1</t>
    </r>
  </si>
  <si>
    <t>1月</t>
  </si>
  <si>
    <t>红河区</t>
  </si>
  <si>
    <r>
      <rPr>
        <b/>
        <sz val="10"/>
        <rFont val="等线"/>
        <charset val="134"/>
      </rPr>
      <t>订单日期</t>
    </r>
  </si>
  <si>
    <r>
      <rPr>
        <b/>
        <sz val="10"/>
        <color rgb="FFFF0000"/>
        <rFont val="等线"/>
        <charset val="134"/>
      </rPr>
      <t>必须录入合同时间</t>
    </r>
  </si>
  <si>
    <r>
      <rPr>
        <b/>
        <sz val="10"/>
        <rFont val="等线"/>
        <charset val="134"/>
      </rPr>
      <t>买方地址</t>
    </r>
    <r>
      <rPr>
        <b/>
        <sz val="10"/>
        <rFont val="Times New Roman"/>
        <charset val="134"/>
      </rPr>
      <t>(VN)</t>
    </r>
  </si>
  <si>
    <t xml:space="preserve">Người đại diện theo pháp luật: </t>
  </si>
  <si>
    <t>Tại Ngân hàng:</t>
  </si>
  <si>
    <t>2*40'</t>
  </si>
  <si>
    <t>FOB</t>
  </si>
  <si>
    <r>
      <rPr>
        <sz val="10"/>
        <color theme="1"/>
        <rFont val="等线"/>
        <charset val="134"/>
      </rPr>
      <t>铁路运输</t>
    </r>
  </si>
  <si>
    <t>常规10送1</t>
  </si>
  <si>
    <t>2月</t>
  </si>
  <si>
    <t>东北区</t>
  </si>
  <si>
    <r>
      <rPr>
        <b/>
        <sz val="10"/>
        <color theme="1"/>
        <rFont val="等线"/>
        <charset val="134"/>
      </rPr>
      <t>运输方式</t>
    </r>
  </si>
  <si>
    <t>RDC仓交货</t>
  </si>
  <si>
    <r>
      <rPr>
        <b/>
        <sz val="10"/>
        <color rgb="FFFF0000"/>
        <rFont val="等线"/>
        <charset val="134"/>
      </rPr>
      <t>必须选择运输方式</t>
    </r>
  </si>
  <si>
    <r>
      <rPr>
        <b/>
        <sz val="10"/>
        <rFont val="等线"/>
        <charset val="134"/>
      </rPr>
      <t>买方电话</t>
    </r>
  </si>
  <si>
    <r>
      <rPr>
        <sz val="10"/>
        <color theme="1"/>
        <rFont val="等线"/>
        <charset val="134"/>
      </rPr>
      <t>公司法人代表：</t>
    </r>
  </si>
  <si>
    <r>
      <rPr>
        <b/>
        <sz val="10"/>
        <rFont val="等线"/>
        <charset val="134"/>
      </rPr>
      <t>银行名称：</t>
    </r>
  </si>
  <si>
    <t>仓库联系电话</t>
  </si>
  <si>
    <r>
      <rPr>
        <b/>
        <sz val="10"/>
        <color theme="1"/>
        <rFont val="等线"/>
        <charset val="134"/>
      </rPr>
      <t>交付说明</t>
    </r>
  </si>
  <si>
    <r>
      <rPr>
        <b/>
        <sz val="10"/>
        <color rgb="FFFF0000"/>
        <rFont val="等线"/>
        <charset val="134"/>
      </rPr>
      <t>目前出口料酒产品、古道系列产品、陈醋和香醋产品均在宿迁工厂生产，未达整柜发运量的均需调拨至高明安排发运，受此影响交付需延长</t>
    </r>
    <r>
      <rPr>
        <b/>
        <sz val="10"/>
        <color rgb="FFFF0000"/>
        <rFont val="Times New Roman"/>
        <charset val="134"/>
      </rPr>
      <t>7-10</t>
    </r>
    <r>
      <rPr>
        <b/>
        <sz val="10"/>
        <color rgb="FFFF0000"/>
        <rFont val="等线"/>
        <charset val="134"/>
      </rPr>
      <t>天，请知悉。</t>
    </r>
  </si>
  <si>
    <t>3*40'</t>
  </si>
  <si>
    <t>EXW</t>
  </si>
  <si>
    <r>
      <rPr>
        <sz val="10"/>
        <color theme="1"/>
        <rFont val="等线"/>
        <charset val="134"/>
      </rPr>
      <t>公路运输</t>
    </r>
  </si>
  <si>
    <t>营销费用申请表</t>
  </si>
  <si>
    <t>3月</t>
  </si>
  <si>
    <t>南部区</t>
  </si>
  <si>
    <r>
      <rPr>
        <b/>
        <sz val="10"/>
        <color theme="1"/>
        <rFont val="等线"/>
        <charset val="134"/>
      </rPr>
      <t>贸易条款</t>
    </r>
  </si>
  <si>
    <t>DAP</t>
  </si>
  <si>
    <t xml:space="preserve">Chức vụ: </t>
  </si>
  <si>
    <r>
      <rPr>
        <b/>
        <sz val="10"/>
        <rFont val="等线"/>
        <charset val="134"/>
      </rPr>
      <t>买方地址</t>
    </r>
    <r>
      <rPr>
        <b/>
        <sz val="10"/>
        <rFont val="Times New Roman"/>
        <charset val="134"/>
      </rPr>
      <t>(</t>
    </r>
    <r>
      <rPr>
        <b/>
        <sz val="10"/>
        <rFont val="等线"/>
        <charset val="134"/>
      </rPr>
      <t>非</t>
    </r>
    <r>
      <rPr>
        <b/>
        <sz val="10"/>
        <rFont val="Times New Roman"/>
        <charset val="134"/>
      </rPr>
      <t>VN)</t>
    </r>
  </si>
  <si>
    <t>支付条款</t>
  </si>
  <si>
    <r>
      <rPr>
        <sz val="10"/>
        <color theme="1"/>
        <rFont val="Times New Roman"/>
        <charset val="134"/>
      </rPr>
      <t>CHI MA, LANG SON</t>
    </r>
    <r>
      <rPr>
        <sz val="10"/>
        <color theme="1"/>
        <rFont val="等线"/>
        <charset val="134"/>
      </rPr>
      <t>，</t>
    </r>
    <r>
      <rPr>
        <sz val="10"/>
        <color theme="1"/>
        <rFont val="Times New Roman"/>
        <charset val="134"/>
      </rPr>
      <t>VIETNAM</t>
    </r>
  </si>
  <si>
    <r>
      <rPr>
        <sz val="10"/>
        <color theme="1"/>
        <rFont val="Times New Roman"/>
        <charset val="134"/>
      </rPr>
      <t>RDC</t>
    </r>
    <r>
      <rPr>
        <sz val="10"/>
        <color theme="1"/>
        <rFont val="SimSun"/>
        <charset val="134"/>
      </rPr>
      <t>仓交货</t>
    </r>
  </si>
  <si>
    <t>4月</t>
  </si>
  <si>
    <r>
      <rPr>
        <b/>
        <sz val="10"/>
        <color theme="1"/>
        <rFont val="等线"/>
        <charset val="134"/>
      </rPr>
      <t>目的港</t>
    </r>
  </si>
  <si>
    <r>
      <rPr>
        <b/>
        <sz val="10"/>
        <color rgb="FFFF0000"/>
        <rFont val="等线"/>
        <charset val="134"/>
      </rPr>
      <t>必须选择目的港</t>
    </r>
  </si>
  <si>
    <r>
      <rPr>
        <sz val="10"/>
        <color theme="1"/>
        <rFont val="等线"/>
        <charset val="134"/>
      </rPr>
      <t>代表职位（中文）</t>
    </r>
  </si>
  <si>
    <r>
      <rPr>
        <b/>
        <sz val="10"/>
        <color rgb="FFFF0000"/>
        <rFont val="等线"/>
        <charset val="134"/>
      </rPr>
      <t>总毛重</t>
    </r>
  </si>
  <si>
    <r>
      <rPr>
        <sz val="10"/>
        <color rgb="FFFF0000"/>
        <rFont val="等线"/>
        <charset val="134"/>
      </rPr>
      <t>港口限重：部分国家的港口</t>
    </r>
    <r>
      <rPr>
        <sz val="10"/>
        <color rgb="FFFF0000"/>
        <rFont val="Times New Roman"/>
        <charset val="134"/>
      </rPr>
      <t>/</t>
    </r>
    <r>
      <rPr>
        <sz val="10"/>
        <color rgb="FFFF0000"/>
        <rFont val="等线"/>
        <charset val="134"/>
      </rPr>
      <t>公路对货柜有限重要求，请注意提前了解避免货柜超重</t>
    </r>
  </si>
  <si>
    <t>2*20'</t>
  </si>
  <si>
    <t>DA NANG,VIETNAM</t>
  </si>
  <si>
    <t>5月</t>
  </si>
  <si>
    <r>
      <rPr>
        <b/>
        <sz val="10"/>
        <color theme="1"/>
        <rFont val="等线"/>
        <charset val="134"/>
      </rPr>
      <t>交货期</t>
    </r>
  </si>
  <si>
    <t>IN 2026</t>
  </si>
  <si>
    <r>
      <rPr>
        <b/>
        <sz val="10"/>
        <color rgb="FFFF0000"/>
        <rFont val="等线"/>
        <charset val="134"/>
      </rPr>
      <t>合计满柜数</t>
    </r>
  </si>
  <si>
    <r>
      <rPr>
        <sz val="10"/>
        <color rgb="FFFF0000"/>
        <rFont val="等线"/>
        <charset val="134"/>
      </rPr>
      <t>多个品种或者多个规格混装的单柜，满柜系数不能超过</t>
    </r>
    <r>
      <rPr>
        <sz val="10"/>
        <color rgb="FFFF0000"/>
        <rFont val="Times New Roman"/>
        <charset val="134"/>
      </rPr>
      <t>0.98 !!!</t>
    </r>
  </si>
  <si>
    <t>3*20'</t>
  </si>
  <si>
    <r>
      <rPr>
        <sz val="10"/>
        <color theme="1"/>
        <rFont val="Times New Roman"/>
        <charset val="134"/>
      </rPr>
      <t>YENVIEN</t>
    </r>
    <r>
      <rPr>
        <sz val="10"/>
        <color theme="1"/>
        <rFont val="等线"/>
        <charset val="134"/>
      </rPr>
      <t>，</t>
    </r>
    <r>
      <rPr>
        <sz val="10"/>
        <color theme="1"/>
        <rFont val="Times New Roman"/>
        <charset val="134"/>
      </rPr>
      <t>VIETNAM</t>
    </r>
  </si>
  <si>
    <t>6月</t>
  </si>
  <si>
    <r>
      <rPr>
        <sz val="10"/>
        <color theme="1"/>
        <rFont val="等线"/>
        <charset val="134"/>
      </rPr>
      <t>单元格C12开始，自动排列序号</t>
    </r>
    <r>
      <rPr>
        <sz val="10"/>
        <color theme="1"/>
        <rFont val="Times New Roman"/>
        <charset val="134"/>
      </rPr>
      <t>“</t>
    </r>
    <r>
      <rPr>
        <sz val="10"/>
        <color theme="1"/>
        <rFont val="SimSun"/>
        <charset val="134"/>
      </rPr>
      <t>如</t>
    </r>
    <r>
      <rPr>
        <sz val="10"/>
        <color theme="1"/>
        <rFont val="Times New Roman"/>
        <charset val="134"/>
      </rPr>
      <t xml:space="preserve">1-8” </t>
    </r>
    <r>
      <rPr>
        <sz val="10"/>
        <color theme="1"/>
        <rFont val="等线"/>
        <charset val="134"/>
      </rPr>
      <t>，根据</t>
    </r>
    <r>
      <rPr>
        <sz val="10"/>
        <color theme="1"/>
        <rFont val="Times New Roman"/>
        <charset val="134"/>
      </rPr>
      <t>A</t>
    </r>
    <r>
      <rPr>
        <sz val="10"/>
        <color theme="1"/>
        <rFont val="等线"/>
        <charset val="134"/>
      </rPr>
      <t>列数到的</t>
    </r>
    <r>
      <rPr>
        <sz val="10"/>
        <color theme="1"/>
        <rFont val="Times New Roman"/>
        <charset val="134"/>
      </rPr>
      <t>“1”</t>
    </r>
    <r>
      <rPr>
        <sz val="10"/>
        <color theme="1"/>
        <rFont val="等线"/>
        <charset val="134"/>
      </rPr>
      <t>的数量，生成数字。不需要手动修改</t>
    </r>
  </si>
  <si>
    <r>
      <rPr>
        <b/>
        <sz val="10"/>
        <color rgb="FFFF0000"/>
        <rFont val="Times New Roman"/>
        <charset val="134"/>
      </rPr>
      <t>SKU</t>
    </r>
    <r>
      <rPr>
        <b/>
        <sz val="10"/>
        <color rgb="FFFF0000"/>
        <rFont val="等线"/>
        <charset val="134"/>
      </rPr>
      <t>数量</t>
    </r>
  </si>
  <si>
    <r>
      <rPr>
        <sz val="10"/>
        <color rgb="FFFF0000"/>
        <rFont val="等线"/>
        <charset val="134"/>
      </rPr>
      <t>多柜的请自行做好分柜并核算好满柜系数，避免产生满载情况</t>
    </r>
  </si>
  <si>
    <t>4*20'</t>
  </si>
  <si>
    <r>
      <rPr>
        <sz val="10"/>
        <color theme="1"/>
        <rFont val="Times New Roman"/>
        <charset val="134"/>
      </rPr>
      <t>DONG DANG</t>
    </r>
    <r>
      <rPr>
        <sz val="10"/>
        <color theme="1"/>
        <rFont val="等线"/>
        <charset val="134"/>
      </rPr>
      <t>，</t>
    </r>
    <r>
      <rPr>
        <sz val="10"/>
        <color theme="1"/>
        <rFont val="Times New Roman"/>
        <charset val="134"/>
      </rPr>
      <t>VIETNAM</t>
    </r>
  </si>
  <si>
    <t>7月</t>
  </si>
  <si>
    <r>
      <rPr>
        <b/>
        <sz val="10"/>
        <color theme="1"/>
        <rFont val="等线"/>
        <charset val="134"/>
      </rPr>
      <t>单元格A12开始，序号</t>
    </r>
    <r>
      <rPr>
        <b/>
        <sz val="10"/>
        <color theme="1"/>
        <rFont val="Times New Roman"/>
        <charset val="134"/>
      </rPr>
      <t xml:space="preserve">“1” </t>
    </r>
    <r>
      <rPr>
        <b/>
        <sz val="10"/>
        <color theme="1"/>
        <rFont val="等线"/>
        <charset val="134"/>
      </rPr>
      <t>已经设定好公式，只要总箱数不等于</t>
    </r>
    <r>
      <rPr>
        <b/>
        <sz val="10"/>
        <color theme="1"/>
        <rFont val="Times New Roman"/>
        <charset val="134"/>
      </rPr>
      <t>“0”</t>
    </r>
    <r>
      <rPr>
        <b/>
        <sz val="10"/>
        <color theme="1"/>
        <rFont val="等线"/>
        <charset val="134"/>
      </rPr>
      <t>，均会显示为</t>
    </r>
    <r>
      <rPr>
        <b/>
        <sz val="10"/>
        <color theme="1"/>
        <rFont val="Times New Roman"/>
        <charset val="134"/>
      </rPr>
      <t>“1”</t>
    </r>
  </si>
  <si>
    <r>
      <rPr>
        <b/>
        <sz val="10"/>
        <rFont val="等线"/>
        <charset val="134"/>
      </rPr>
      <t>唛头</t>
    </r>
    <r>
      <rPr>
        <b/>
        <sz val="10"/>
        <rFont val="Times New Roman"/>
        <charset val="134"/>
      </rPr>
      <t>(Marks)</t>
    </r>
    <r>
      <rPr>
        <b/>
        <sz val="10"/>
        <rFont val="等线"/>
        <charset val="134"/>
      </rPr>
      <t>：</t>
    </r>
  </si>
  <si>
    <r>
      <rPr>
        <sz val="10"/>
        <color rgb="FFFF0000"/>
        <rFont val="等线"/>
        <charset val="134"/>
      </rPr>
      <t>请注意：个别物料有最低起订量需求，譬如海鲜酱油等。</t>
    </r>
    <r>
      <rPr>
        <sz val="10"/>
        <color rgb="FFFF0000"/>
        <rFont val="等线"/>
        <charset val="134"/>
      </rPr>
      <t xml:space="preserve"> 请查看单元格：</t>
    </r>
    <r>
      <rPr>
        <sz val="10"/>
        <color rgb="FFFF0000"/>
        <rFont val="Times New Roman"/>
        <charset val="134"/>
      </rPr>
      <t>AK20</t>
    </r>
  </si>
  <si>
    <r>
      <rPr>
        <b/>
        <sz val="10"/>
        <color rgb="FFFF0000"/>
        <rFont val="等线"/>
        <charset val="134"/>
      </rPr>
      <t>未特殊备注的产品最低起订量为</t>
    </r>
    <r>
      <rPr>
        <b/>
        <sz val="10"/>
        <color rgb="FFFF0000"/>
        <rFont val="Times New Roman"/>
        <charset val="134"/>
      </rPr>
      <t>100</t>
    </r>
    <r>
      <rPr>
        <b/>
        <sz val="10"/>
        <color rgb="FFFF0000"/>
        <rFont val="等线"/>
        <charset val="134"/>
      </rPr>
      <t>箱</t>
    </r>
  </si>
  <si>
    <r>
      <rPr>
        <b/>
        <sz val="10"/>
        <color rgb="FFFF0000"/>
        <rFont val="等线"/>
        <charset val="134"/>
      </rPr>
      <t>专柜数量</t>
    </r>
  </si>
  <si>
    <r>
      <rPr>
        <sz val="10"/>
        <color rgb="FFFF0000"/>
        <rFont val="等线"/>
        <charset val="134"/>
      </rPr>
      <t>客户如需下</t>
    </r>
    <r>
      <rPr>
        <sz val="10"/>
        <color rgb="FFFF0000"/>
        <rFont val="Times New Roman"/>
        <charset val="134"/>
      </rPr>
      <t>40</t>
    </r>
    <r>
      <rPr>
        <sz val="10"/>
        <color rgb="FFFF0000"/>
        <rFont val="等线"/>
        <charset val="134"/>
      </rPr>
      <t>尺柜，货物总毛重不能超过</t>
    </r>
    <r>
      <rPr>
        <sz val="10"/>
        <color rgb="FFFF0000"/>
        <rFont val="Times New Roman"/>
        <charset val="134"/>
      </rPr>
      <t>26</t>
    </r>
    <r>
      <rPr>
        <sz val="10"/>
        <color rgb="FFFF0000"/>
        <rFont val="等线"/>
        <charset val="134"/>
      </rPr>
      <t>吨。</t>
    </r>
  </si>
  <si>
    <r>
      <rPr>
        <sz val="10"/>
        <color theme="1"/>
        <rFont val="Times New Roman"/>
        <charset val="134"/>
      </rPr>
      <t>1*32</t>
    </r>
    <r>
      <rPr>
        <sz val="10"/>
        <color theme="1"/>
        <rFont val="等线"/>
        <charset val="134"/>
      </rPr>
      <t>吨汽车</t>
    </r>
  </si>
  <si>
    <t>8月</t>
  </si>
  <si>
    <r>
      <rPr>
        <sz val="10"/>
        <rFont val="宋体"/>
        <charset val="134"/>
      </rPr>
      <t>小类汇总</t>
    </r>
  </si>
  <si>
    <r>
      <rPr>
        <sz val="10"/>
        <rFont val="宋体"/>
        <charset val="134"/>
      </rPr>
      <t>物料编码</t>
    </r>
  </si>
  <si>
    <r>
      <rPr>
        <sz val="10"/>
        <rFont val="宋体"/>
        <charset val="134"/>
      </rPr>
      <t>标签</t>
    </r>
  </si>
  <si>
    <r>
      <rPr>
        <sz val="10"/>
        <rFont val="宋体"/>
        <charset val="134"/>
      </rPr>
      <t>小类</t>
    </r>
  </si>
  <si>
    <r>
      <rPr>
        <sz val="10"/>
        <rFont val="宋体"/>
        <charset val="134"/>
      </rPr>
      <t>商</t>
    </r>
    <r>
      <rPr>
        <sz val="10"/>
        <rFont val="宋体"/>
        <charset val="134"/>
      </rPr>
      <t xml:space="preserve">      品</t>
    </r>
    <r>
      <rPr>
        <sz val="10"/>
        <rFont val="宋体"/>
        <charset val="134"/>
      </rPr>
      <t xml:space="preserve">      名</t>
    </r>
    <r>
      <rPr>
        <sz val="10"/>
        <rFont val="宋体"/>
        <charset val="134"/>
      </rPr>
      <t xml:space="preserve">      称</t>
    </r>
    <r>
      <rPr>
        <sz val="10"/>
        <rFont val="Times New Roman"/>
        <charset val="134"/>
      </rPr>
      <t xml:space="preserve"> (</t>
    </r>
    <r>
      <rPr>
        <sz val="10"/>
        <rFont val="宋体"/>
        <charset val="134"/>
      </rPr>
      <t>英语</t>
    </r>
    <r>
      <rPr>
        <sz val="10"/>
        <rFont val="Times New Roman"/>
        <charset val="134"/>
      </rPr>
      <t>)</t>
    </r>
  </si>
  <si>
    <r>
      <rPr>
        <sz val="10"/>
        <rFont val="宋体"/>
        <charset val="134"/>
      </rPr>
      <t>商</t>
    </r>
    <r>
      <rPr>
        <sz val="10"/>
        <rFont val="宋体"/>
        <charset val="134"/>
      </rPr>
      <t xml:space="preserve">      品</t>
    </r>
    <r>
      <rPr>
        <sz val="10"/>
        <rFont val="宋体"/>
        <charset val="134"/>
      </rPr>
      <t xml:space="preserve">      名</t>
    </r>
    <r>
      <rPr>
        <sz val="10"/>
        <rFont val="宋体"/>
        <charset val="134"/>
      </rPr>
      <t xml:space="preserve">      称</t>
    </r>
    <r>
      <rPr>
        <sz val="10"/>
        <rFont val="Times New Roman"/>
        <charset val="134"/>
      </rPr>
      <t>(</t>
    </r>
    <r>
      <rPr>
        <sz val="10"/>
        <rFont val="宋体"/>
        <charset val="134"/>
      </rPr>
      <t>越南语）</t>
    </r>
  </si>
  <si>
    <r>
      <rPr>
        <sz val="10"/>
        <rFont val="宋体"/>
        <charset val="134"/>
      </rPr>
      <t>商</t>
    </r>
    <r>
      <rPr>
        <sz val="10"/>
        <rFont val="宋体"/>
        <charset val="134"/>
      </rPr>
      <t xml:space="preserve">      品</t>
    </r>
    <r>
      <rPr>
        <sz val="10"/>
        <rFont val="宋体"/>
        <charset val="134"/>
      </rPr>
      <t xml:space="preserve">      名</t>
    </r>
    <r>
      <rPr>
        <sz val="10"/>
        <rFont val="宋体"/>
        <charset val="134"/>
      </rPr>
      <t xml:space="preserve">      称</t>
    </r>
    <r>
      <rPr>
        <sz val="10"/>
        <rFont val="Times New Roman"/>
        <charset val="134"/>
      </rPr>
      <t>(</t>
    </r>
    <r>
      <rPr>
        <sz val="10"/>
        <rFont val="宋体"/>
        <charset val="134"/>
      </rPr>
      <t>中文）</t>
    </r>
  </si>
  <si>
    <r>
      <rPr>
        <sz val="10"/>
        <rFont val="宋体"/>
        <charset val="134"/>
      </rPr>
      <t>价格</t>
    </r>
    <r>
      <rPr>
        <sz val="10"/>
        <rFont val="Times New Roman"/>
        <charset val="134"/>
      </rPr>
      <t>(VND)</t>
    </r>
  </si>
  <si>
    <r>
      <rPr>
        <sz val="10"/>
        <rFont val="宋体"/>
        <charset val="134"/>
      </rPr>
      <t>产品数量</t>
    </r>
  </si>
  <si>
    <r>
      <rPr>
        <sz val="10"/>
        <rFont val="宋体"/>
        <charset val="134"/>
      </rPr>
      <t>赠品数量</t>
    </r>
  </si>
  <si>
    <r>
      <rPr>
        <sz val="10"/>
        <rFont val="宋体"/>
        <charset val="134"/>
      </rPr>
      <t>总数量</t>
    </r>
  </si>
  <si>
    <r>
      <rPr>
        <sz val="10"/>
        <rFont val="宋体"/>
        <charset val="134"/>
      </rPr>
      <t>折扣比例预判</t>
    </r>
  </si>
  <si>
    <r>
      <rPr>
        <sz val="10"/>
        <rFont val="SimSun"/>
        <charset val="134"/>
      </rPr>
      <t>产品价值</t>
    </r>
    <r>
      <rPr>
        <sz val="10"/>
        <rFont val="Times New Roman"/>
        <charset val="134"/>
      </rPr>
      <t>*VAT-</t>
    </r>
  </si>
  <si>
    <r>
      <rPr>
        <sz val="10"/>
        <rFont val="SimSun"/>
        <charset val="134"/>
      </rPr>
      <t>赠品价值</t>
    </r>
    <r>
      <rPr>
        <sz val="10"/>
        <rFont val="Times New Roman"/>
        <charset val="134"/>
      </rPr>
      <t>*VAT-</t>
    </r>
  </si>
  <si>
    <r>
      <rPr>
        <sz val="10"/>
        <rFont val="SimSun"/>
        <charset val="134"/>
      </rPr>
      <t>总价值</t>
    </r>
    <r>
      <rPr>
        <sz val="10"/>
        <rFont val="Times New Roman"/>
        <charset val="134"/>
      </rPr>
      <t>*VAT-</t>
    </r>
  </si>
  <si>
    <r>
      <rPr>
        <sz val="10"/>
        <rFont val="Times New Roman"/>
        <charset val="134"/>
      </rPr>
      <t>VAT</t>
    </r>
    <r>
      <rPr>
        <sz val="10"/>
        <rFont val="SimSun"/>
        <charset val="134"/>
      </rPr>
      <t>税率</t>
    </r>
  </si>
  <si>
    <r>
      <rPr>
        <sz val="10"/>
        <rFont val="SimSun"/>
        <charset val="134"/>
      </rPr>
      <t>产品价值</t>
    </r>
    <r>
      <rPr>
        <sz val="10"/>
        <rFont val="Times New Roman"/>
        <charset val="134"/>
      </rPr>
      <t>*VAT+</t>
    </r>
  </si>
  <si>
    <r>
      <rPr>
        <sz val="10"/>
        <rFont val="SimSun"/>
        <charset val="134"/>
      </rPr>
      <t>赠品价值</t>
    </r>
    <r>
      <rPr>
        <sz val="10"/>
        <rFont val="Times New Roman"/>
        <charset val="134"/>
      </rPr>
      <t>*VAT+</t>
    </r>
  </si>
  <si>
    <r>
      <rPr>
        <sz val="10"/>
        <rFont val="SimSun"/>
        <charset val="134"/>
      </rPr>
      <t>总价值</t>
    </r>
    <r>
      <rPr>
        <sz val="10"/>
        <rFont val="Times New Roman"/>
        <charset val="134"/>
      </rPr>
      <t>*VAT+</t>
    </r>
  </si>
  <si>
    <r>
      <rPr>
        <sz val="10"/>
        <rFont val="宋体"/>
        <charset val="134"/>
      </rPr>
      <t>报检报关用产品品名</t>
    </r>
  </si>
  <si>
    <r>
      <rPr>
        <sz val="10"/>
        <rFont val="宋体"/>
        <charset val="134"/>
      </rPr>
      <t>产品规格</t>
    </r>
  </si>
  <si>
    <r>
      <rPr>
        <sz val="10"/>
        <rFont val="宋体"/>
        <charset val="134"/>
      </rPr>
      <t>每</t>
    </r>
    <r>
      <rPr>
        <sz val="10"/>
        <rFont val="宋体"/>
        <charset val="134"/>
      </rPr>
      <t xml:space="preserve">  箱</t>
    </r>
    <r>
      <rPr>
        <sz val="10"/>
        <rFont val="Times New Roman"/>
        <charset val="134"/>
      </rPr>
      <t xml:space="preserve">  Per Carton</t>
    </r>
  </si>
  <si>
    <r>
      <rPr>
        <sz val="10"/>
        <rFont val="宋体"/>
        <charset val="134"/>
      </rPr>
      <t>全</t>
    </r>
    <r>
      <rPr>
        <sz val="10"/>
        <rFont val="宋体"/>
        <charset val="134"/>
      </rPr>
      <t xml:space="preserve">  部</t>
    </r>
    <r>
      <rPr>
        <sz val="10"/>
        <rFont val="Times New Roman"/>
        <charset val="134"/>
      </rPr>
      <t xml:space="preserve"> Total</t>
    </r>
  </si>
  <si>
    <t>CTNS/20'</t>
  </si>
  <si>
    <t>CTNS/40'</t>
  </si>
  <si>
    <r>
      <rPr>
        <sz val="10"/>
        <color theme="1"/>
        <rFont val="Times New Roman"/>
        <charset val="134"/>
      </rPr>
      <t>2*32</t>
    </r>
    <r>
      <rPr>
        <sz val="10"/>
        <color theme="1"/>
        <rFont val="等线"/>
        <charset val="134"/>
      </rPr>
      <t>吨汽车</t>
    </r>
  </si>
  <si>
    <t>9月</t>
  </si>
  <si>
    <t>Commodities Name(EN)</t>
  </si>
  <si>
    <t>Commodities Name(VN)</t>
  </si>
  <si>
    <t>Commodities Name(CN)</t>
  </si>
  <si>
    <t>Price (VND)</t>
  </si>
  <si>
    <r>
      <rPr>
        <sz val="10"/>
        <rFont val="Times New Roman"/>
        <charset val="134"/>
      </rPr>
      <t>(</t>
    </r>
    <r>
      <rPr>
        <sz val="10"/>
        <rFont val="宋体"/>
        <charset val="134"/>
      </rPr>
      <t>箱</t>
    </r>
    <r>
      <rPr>
        <sz val="10"/>
        <rFont val="Times New Roman"/>
        <charset val="134"/>
      </rPr>
      <t>)</t>
    </r>
  </si>
  <si>
    <r>
      <rPr>
        <sz val="10"/>
        <rFont val="Times New Roman"/>
        <charset val="134"/>
      </rPr>
      <t>(</t>
    </r>
    <r>
      <rPr>
        <sz val="10"/>
        <rFont val="SimSun"/>
        <charset val="134"/>
      </rPr>
      <t>箱</t>
    </r>
    <r>
      <rPr>
        <sz val="10"/>
        <rFont val="Times New Roman"/>
        <charset val="134"/>
      </rPr>
      <t>)</t>
    </r>
  </si>
  <si>
    <t>(VND)</t>
  </si>
  <si>
    <t>%</t>
  </si>
  <si>
    <r>
      <rPr>
        <sz val="10"/>
        <rFont val="宋体"/>
        <charset val="134"/>
      </rPr>
      <t>毛重</t>
    </r>
    <r>
      <rPr>
        <sz val="10"/>
        <rFont val="Times New Roman"/>
        <charset val="134"/>
      </rPr>
      <t>(KG)</t>
    </r>
  </si>
  <si>
    <r>
      <rPr>
        <sz val="10"/>
        <rFont val="宋体"/>
        <charset val="134"/>
      </rPr>
      <t>净重</t>
    </r>
    <r>
      <rPr>
        <sz val="10"/>
        <rFont val="Times New Roman"/>
        <charset val="134"/>
      </rPr>
      <t>(KG)</t>
    </r>
  </si>
  <si>
    <r>
      <rPr>
        <sz val="10"/>
        <rFont val="宋体"/>
        <charset val="134"/>
      </rPr>
      <t>尺码</t>
    </r>
    <r>
      <rPr>
        <sz val="10"/>
        <rFont val="Times New Roman"/>
        <charset val="134"/>
      </rPr>
      <t>(M)</t>
    </r>
  </si>
  <si>
    <r>
      <rPr>
        <sz val="10"/>
        <rFont val="宋体"/>
        <charset val="134"/>
      </rPr>
      <t>体积</t>
    </r>
    <r>
      <rPr>
        <sz val="10"/>
        <rFont val="Times New Roman"/>
        <charset val="134"/>
      </rPr>
      <t>(M3)</t>
    </r>
  </si>
  <si>
    <r>
      <rPr>
        <sz val="10"/>
        <color theme="1"/>
        <rFont val="Times New Roman"/>
        <charset val="134"/>
      </rPr>
      <t>20'</t>
    </r>
    <r>
      <rPr>
        <sz val="10"/>
        <color theme="1"/>
        <rFont val="宋体"/>
        <charset val="134"/>
      </rPr>
      <t>满柜核算</t>
    </r>
  </si>
  <si>
    <r>
      <rPr>
        <sz val="10"/>
        <color theme="1"/>
        <rFont val="Times New Roman"/>
        <charset val="134"/>
      </rPr>
      <t>20'</t>
    </r>
    <r>
      <rPr>
        <sz val="10"/>
        <color theme="1"/>
        <rFont val="宋体"/>
        <charset val="134"/>
      </rPr>
      <t>专柜数量</t>
    </r>
  </si>
  <si>
    <r>
      <rPr>
        <sz val="10"/>
        <color theme="1"/>
        <rFont val="Times New Roman"/>
        <charset val="134"/>
      </rPr>
      <t>40'</t>
    </r>
    <r>
      <rPr>
        <sz val="10"/>
        <color theme="1"/>
        <rFont val="宋体"/>
        <charset val="134"/>
      </rPr>
      <t>满柜核算</t>
    </r>
  </si>
  <si>
    <r>
      <rPr>
        <sz val="10"/>
        <color theme="1"/>
        <rFont val="宋体"/>
        <charset val="134"/>
      </rPr>
      <t>下单备注</t>
    </r>
  </si>
  <si>
    <t>10月</t>
  </si>
  <si>
    <r>
      <rPr>
        <sz val="10"/>
        <rFont val="宋体"/>
        <charset val="134"/>
      </rPr>
      <t>招牌味极鲜酿造酱油</t>
    </r>
  </si>
  <si>
    <t>89180275005</t>
  </si>
  <si>
    <r>
      <rPr>
        <sz val="10"/>
        <rFont val="宋体"/>
        <charset val="134"/>
      </rPr>
      <t>中文标签</t>
    </r>
  </si>
  <si>
    <t>SEASONING SOY SAUCE 750ML*6</t>
  </si>
  <si>
    <t>HADAY NƯỚC TƯƠNG CAO CẤP 750ML*6</t>
  </si>
  <si>
    <t>出口海天牌招牌味极鲜酿造酱油750ML*6(越南公司用)(玻璃瓶)</t>
  </si>
  <si>
    <r>
      <rPr>
        <sz val="10"/>
        <rFont val="SimSun"/>
        <charset val="134"/>
      </rPr>
      <t>海天牌招牌味极鲜酿造酱油</t>
    </r>
    <r>
      <rPr>
        <sz val="10"/>
        <rFont val="Times New Roman"/>
        <charset val="134"/>
      </rPr>
      <t>750ML*6</t>
    </r>
  </si>
  <si>
    <t>750ML*6</t>
  </si>
  <si>
    <t>8.20</t>
  </si>
  <si>
    <t>5.40</t>
  </si>
  <si>
    <t>2000.00</t>
  </si>
  <si>
    <t>3410.00</t>
  </si>
  <si>
    <t>11月</t>
  </si>
  <si>
    <t>89180210903</t>
  </si>
  <si>
    <t>SEASONING SOY SAUCE 1.9L*6</t>
  </si>
  <si>
    <t>HADAY NƯỚC TƯƠNG CAO CẤP 1.9L*6</t>
  </si>
  <si>
    <t>出口海天牌招牌味极鲜酿造酱油1.9L*6(越南公司用)(PET瓶)</t>
  </si>
  <si>
    <r>
      <rPr>
        <sz val="10"/>
        <rFont val="SimSun"/>
        <charset val="134"/>
      </rPr>
      <t>海天牌招牌味极鲜酿造酱油</t>
    </r>
    <r>
      <rPr>
        <sz val="10"/>
        <rFont val="Times New Roman"/>
        <charset val="134"/>
      </rPr>
      <t>1.9L*6</t>
    </r>
  </si>
  <si>
    <t>1.9L*6</t>
  </si>
  <si>
    <t>14.90</t>
  </si>
  <si>
    <t>14.00</t>
  </si>
  <si>
    <t>1100.00</t>
  </si>
  <si>
    <t>1880.00</t>
  </si>
  <si>
    <t>12月</t>
  </si>
  <si>
    <r>
      <rPr>
        <sz val="10"/>
        <rFont val="宋体"/>
        <charset val="134"/>
      </rPr>
      <t>味极鲜酱油</t>
    </r>
    <r>
      <rPr>
        <sz val="10"/>
        <rFont val="Times New Roman"/>
        <charset val="134"/>
      </rPr>
      <t>(</t>
    </r>
    <r>
      <rPr>
        <sz val="10"/>
        <rFont val="宋体"/>
        <charset val="134"/>
      </rPr>
      <t>经典版</t>
    </r>
    <r>
      <rPr>
        <sz val="10"/>
        <rFont val="Times New Roman"/>
        <charset val="134"/>
      </rPr>
      <t>)</t>
    </r>
  </si>
  <si>
    <t>89107275005</t>
  </si>
  <si>
    <t>PREMIUM SOY SAUCE (CLASSIC VERSION) 750ML*6</t>
  </si>
  <si>
    <t>NƯỚC TƯƠNG CAO CẤP (VỊ TRUYỀN THỐNG) 750ML*6</t>
  </si>
  <si>
    <t>出口海天牌味极鲜酱油(经典版)750ML*6(越南公司用)(玻璃瓶)</t>
  </si>
  <si>
    <r>
      <rPr>
        <sz val="10"/>
        <rFont val="宋体"/>
        <charset val="134"/>
      </rPr>
      <t>海天牌味极鲜酱油</t>
    </r>
    <r>
      <rPr>
        <sz val="10"/>
        <rFont val="Times New Roman"/>
        <charset val="134"/>
      </rPr>
      <t>(</t>
    </r>
    <r>
      <rPr>
        <sz val="10"/>
        <rFont val="宋体"/>
        <charset val="134"/>
      </rPr>
      <t>经典版</t>
    </r>
    <r>
      <rPr>
        <sz val="10"/>
        <rFont val="Times New Roman"/>
        <charset val="134"/>
      </rPr>
      <t>)750ML*6</t>
    </r>
  </si>
  <si>
    <t>3330.00</t>
  </si>
  <si>
    <t>89107238005</t>
  </si>
  <si>
    <t>PREMIUM SOY SAUCE (CLASSIC VERSION) 380ML*12</t>
  </si>
  <si>
    <t>NƯỚC TƯƠNG CAO CẤP (VỊ TRUYỀN THỐNG) 380ML*12</t>
  </si>
  <si>
    <t>出口海天牌味极鲜酱油(经典版)380ML*12(越南公司用)(玻璃瓶)</t>
  </si>
  <si>
    <r>
      <rPr>
        <sz val="10"/>
        <rFont val="宋体"/>
        <charset val="134"/>
      </rPr>
      <t>海天牌味极鲜酱油</t>
    </r>
    <r>
      <rPr>
        <sz val="10"/>
        <rFont val="Times New Roman"/>
        <charset val="134"/>
      </rPr>
      <t>(</t>
    </r>
    <r>
      <rPr>
        <sz val="10"/>
        <rFont val="宋体"/>
        <charset val="134"/>
      </rPr>
      <t>经典版</t>
    </r>
    <r>
      <rPr>
        <sz val="10"/>
        <rFont val="Times New Roman"/>
        <charset val="134"/>
      </rPr>
      <t>)380ML*12</t>
    </r>
  </si>
  <si>
    <t>380ML*12</t>
  </si>
  <si>
    <t>2050.00</t>
  </si>
  <si>
    <t>3150.00</t>
  </si>
  <si>
    <t>89107210905</t>
  </si>
  <si>
    <t>PREMIUM SOY SAUCE (CLASSIC VERSION) 1.9L*6</t>
  </si>
  <si>
    <t>NƯỚC TƯƠNG CAO CẤP (VỊ TRUYỀN THỐNG) 1.9L*6</t>
  </si>
  <si>
    <t>出口海天牌味极鲜酱油(经典版)1.9L*6(越南公司用)(PET瓶)</t>
  </si>
  <si>
    <r>
      <rPr>
        <sz val="10"/>
        <rFont val="SimSun"/>
        <charset val="134"/>
      </rPr>
      <t>海天牌味极鲜酱油</t>
    </r>
    <r>
      <rPr>
        <sz val="10"/>
        <rFont val="Times New Roman"/>
        <charset val="134"/>
      </rPr>
      <t>(</t>
    </r>
    <r>
      <rPr>
        <sz val="10"/>
        <rFont val="SimSun"/>
        <charset val="134"/>
      </rPr>
      <t>经典版</t>
    </r>
    <r>
      <rPr>
        <sz val="10"/>
        <rFont val="Times New Roman"/>
        <charset val="134"/>
      </rPr>
      <t>)1.9L*6</t>
    </r>
  </si>
  <si>
    <t>1120.00</t>
  </si>
  <si>
    <t>1870.00</t>
  </si>
  <si>
    <t>89107240905</t>
  </si>
  <si>
    <t>PREMIUM SOY SAUCE (CLASSIC VERSION) 4.9L*6</t>
  </si>
  <si>
    <t>NƯỚC TƯƠNG CAO CẤP (VỊ TRUYỀN THỐNG) 4.9L*2</t>
  </si>
  <si>
    <t>出口海天牌味极鲜酱油(经典版)4.9L*2(越南公司用)(PET瓶)</t>
  </si>
  <si>
    <r>
      <rPr>
        <sz val="10"/>
        <rFont val="SimSun"/>
        <charset val="134"/>
      </rPr>
      <t>海天牌味极鲜酱油</t>
    </r>
    <r>
      <rPr>
        <sz val="10"/>
        <rFont val="Times New Roman"/>
        <charset val="134"/>
      </rPr>
      <t>(</t>
    </r>
    <r>
      <rPr>
        <sz val="10"/>
        <rFont val="SimSun"/>
        <charset val="134"/>
      </rPr>
      <t>经典版</t>
    </r>
    <r>
      <rPr>
        <sz val="10"/>
        <rFont val="Times New Roman"/>
        <charset val="134"/>
      </rPr>
      <t>)4.9L*2</t>
    </r>
  </si>
  <si>
    <t>4.9L*2</t>
  </si>
  <si>
    <t>1580.00</t>
  </si>
  <si>
    <t>2200.00</t>
  </si>
  <si>
    <r>
      <rPr>
        <sz val="10"/>
        <rFont val="Times New Roman"/>
        <charset val="134"/>
      </rPr>
      <t>0</t>
    </r>
    <r>
      <rPr>
        <sz val="10"/>
        <rFont val="宋体"/>
        <charset val="134"/>
      </rPr>
      <t>味极鲜酱油</t>
    </r>
  </si>
  <si>
    <t>89101838005</t>
  </si>
  <si>
    <t>0 PREMIUM SOY SAUCE 380ML*12</t>
  </si>
  <si>
    <t>HADAY NƯỚC TƯƠNG CAO CẤP 0 PHỤ GIA THỰC PHẨM 380ML*12</t>
  </si>
  <si>
    <t>出口海天牌0味极鲜酱油380ML*12(越南公司用)(玻璃瓶)</t>
  </si>
  <si>
    <r>
      <rPr>
        <sz val="10"/>
        <rFont val="SimSun"/>
        <charset val="134"/>
      </rPr>
      <t>海天牌</t>
    </r>
    <r>
      <rPr>
        <sz val="10"/>
        <rFont val="Times New Roman"/>
        <charset val="134"/>
      </rPr>
      <t>0</t>
    </r>
    <r>
      <rPr>
        <sz val="10"/>
        <rFont val="SimSun"/>
        <charset val="134"/>
      </rPr>
      <t>味极鲜酱油</t>
    </r>
    <r>
      <rPr>
        <sz val="10"/>
        <rFont val="Times New Roman"/>
        <charset val="134"/>
      </rPr>
      <t>380ML*12</t>
    </r>
  </si>
  <si>
    <t>8.80</t>
  </si>
  <si>
    <t>5.50</t>
  </si>
  <si>
    <t>3180.00</t>
  </si>
  <si>
    <t>89101875005</t>
  </si>
  <si>
    <t>0 PREMIUM SOY SAUCE 750ML*6</t>
  </si>
  <si>
    <t>HADAY NƯỚC TƯƠNG CAO CẤP 0 PHỤ GIA THỰC PHẨM 750ML*6</t>
  </si>
  <si>
    <t>出口海天牌0味极鲜酱油750ML*6(越南公司用)(玻璃瓶)</t>
  </si>
  <si>
    <r>
      <rPr>
        <sz val="10"/>
        <rFont val="SimSun"/>
        <charset val="134"/>
      </rPr>
      <t>海天牌</t>
    </r>
    <r>
      <rPr>
        <sz val="10"/>
        <rFont val="Times New Roman"/>
        <charset val="134"/>
      </rPr>
      <t>0</t>
    </r>
    <r>
      <rPr>
        <sz val="10"/>
        <rFont val="SimSun"/>
        <charset val="134"/>
      </rPr>
      <t>味极鲜酱油</t>
    </r>
    <r>
      <rPr>
        <sz val="10"/>
        <rFont val="Times New Roman"/>
        <charset val="134"/>
      </rPr>
      <t>750ML*6</t>
    </r>
  </si>
  <si>
    <t>89101817503</t>
  </si>
  <si>
    <t>0 PREMIUM SOY SAUCE 1.75L*6</t>
  </si>
  <si>
    <t>HADAY NƯỚC TƯƠNG CAO CẤP 0 PHỤ GIA THỰC PHẨM 1.75L*6</t>
  </si>
  <si>
    <t>出口海天牌0味极鲜酱油1.75L*6(越南公司用)(PET瓶)</t>
  </si>
  <si>
    <r>
      <rPr>
        <sz val="10"/>
        <rFont val="SimSun"/>
        <charset val="134"/>
      </rPr>
      <t>海天牌</t>
    </r>
    <r>
      <rPr>
        <sz val="10"/>
        <rFont val="Times New Roman"/>
        <charset val="134"/>
      </rPr>
      <t>0</t>
    </r>
    <r>
      <rPr>
        <sz val="10"/>
        <rFont val="SimSun"/>
        <charset val="134"/>
      </rPr>
      <t>味极鲜酱油</t>
    </r>
    <r>
      <rPr>
        <sz val="10"/>
        <rFont val="Times New Roman"/>
        <charset val="134"/>
      </rPr>
      <t>1.75L*6</t>
    </r>
  </si>
  <si>
    <t>1.75L*6</t>
  </si>
  <si>
    <t>13.60</t>
  </si>
  <si>
    <t>12.80</t>
  </si>
  <si>
    <t>1260.00</t>
  </si>
  <si>
    <t>2060.00</t>
  </si>
  <si>
    <r>
      <rPr>
        <sz val="10"/>
        <rFont val="宋体"/>
        <charset val="134"/>
      </rPr>
      <t>海鲜酱油（经典版）</t>
    </r>
  </si>
  <si>
    <t>89102050006</t>
  </si>
  <si>
    <t>TASTY SEAFOOD FLAVORED SOY SAUCE (CLASSIC VERSION) 500ML*12</t>
  </si>
  <si>
    <t>HADAY NƯỚC TƯƠNG HẢI SẢN 500ML*12</t>
  </si>
  <si>
    <t>出口海天牌海鲜酱油(经典版)500ML*12(越南公司用)(玻璃瓶)</t>
  </si>
  <si>
    <r>
      <rPr>
        <sz val="10"/>
        <rFont val="SimSun"/>
        <charset val="134"/>
      </rPr>
      <t>海天牌海鲜酱油</t>
    </r>
    <r>
      <rPr>
        <sz val="10"/>
        <rFont val="Times New Roman"/>
        <charset val="134"/>
      </rPr>
      <t>(</t>
    </r>
    <r>
      <rPr>
        <sz val="10"/>
        <rFont val="SimSun"/>
        <charset val="134"/>
      </rPr>
      <t>经典版</t>
    </r>
    <r>
      <rPr>
        <sz val="10"/>
        <rFont val="Times New Roman"/>
        <charset val="134"/>
      </rPr>
      <t>)500ML*12</t>
    </r>
  </si>
  <si>
    <t>500ML*12</t>
  </si>
  <si>
    <t>10.50</t>
  </si>
  <si>
    <t>7.40</t>
  </si>
  <si>
    <t>1850.00</t>
  </si>
  <si>
    <t>2670.00</t>
  </si>
  <si>
    <t>89102017506</t>
  </si>
  <si>
    <t>TASTY SEAFOOD FLAVORED SOY SAUCE (CLASSIC VERSION) 1.75L*6</t>
  </si>
  <si>
    <t>HADAY NƯỚC TƯƠNG HẢI SẢN 1.75L*6</t>
  </si>
  <si>
    <t>出口海天牌海鲜酱油(经典版)1.75L*6(越南公司用)(PET瓶)</t>
  </si>
  <si>
    <r>
      <rPr>
        <sz val="10"/>
        <rFont val="SimSun"/>
        <charset val="134"/>
      </rPr>
      <t>海天牌海鲜酱油</t>
    </r>
    <r>
      <rPr>
        <sz val="10"/>
        <rFont val="Times New Roman"/>
        <charset val="134"/>
      </rPr>
      <t>(</t>
    </r>
    <r>
      <rPr>
        <sz val="10"/>
        <rFont val="SimSun"/>
        <charset val="134"/>
      </rPr>
      <t>经典版</t>
    </r>
    <r>
      <rPr>
        <sz val="10"/>
        <rFont val="Times New Roman"/>
        <charset val="134"/>
      </rPr>
      <t>)1.75L*6</t>
    </r>
  </si>
  <si>
    <t>13.70</t>
  </si>
  <si>
    <t>12.90</t>
  </si>
  <si>
    <t>1200.00</t>
  </si>
  <si>
    <t>2040.00</t>
  </si>
  <si>
    <t>89102050005</t>
  </si>
  <si>
    <r>
      <rPr>
        <sz val="10"/>
        <rFont val="宋体"/>
        <charset val="134"/>
      </rPr>
      <t>越南文标签</t>
    </r>
  </si>
  <si>
    <t>出口海天牌海鲜酱油(经典版)500ML*12(越南版；越南公司用)(玻璃瓶)</t>
  </si>
  <si>
    <t>89102017505</t>
  </si>
  <si>
    <t>出口海天牌海鲜酱油(经典版)1.75L*6(越南版；越南公司用)(PET瓶)</t>
  </si>
  <si>
    <r>
      <rPr>
        <sz val="10"/>
        <rFont val="宋体"/>
        <charset val="134"/>
      </rPr>
      <t>海天金标生抽（经典版）</t>
    </r>
  </si>
  <si>
    <t>89101900801</t>
  </si>
  <si>
    <t>HADAY GOLDEN LABEL LIGHT SOY SAUCE (CLASSIC VERSION) 8ML*500</t>
  </si>
  <si>
    <t>HADAY NƯỚC TƯƠNG NHÃN VÀNG 8ML*500</t>
  </si>
  <si>
    <t>出口海天牌海天金标生抽(经典版)8ML*500(越南版；越南公司用)(普通袋)</t>
  </si>
  <si>
    <r>
      <rPr>
        <sz val="10"/>
        <rFont val="宋体"/>
        <charset val="134"/>
      </rPr>
      <t>海天牌海天金标生抽</t>
    </r>
    <r>
      <rPr>
        <sz val="10"/>
        <rFont val="Times New Roman"/>
        <charset val="134"/>
      </rPr>
      <t>(</t>
    </r>
    <r>
      <rPr>
        <sz val="10"/>
        <rFont val="宋体"/>
        <charset val="134"/>
      </rPr>
      <t>经典版</t>
    </r>
    <r>
      <rPr>
        <sz val="10"/>
        <rFont val="Times New Roman"/>
        <charset val="134"/>
      </rPr>
      <t>)8ML*500</t>
    </r>
  </si>
  <si>
    <t>8ML*500</t>
  </si>
  <si>
    <t>5.30</t>
  </si>
  <si>
    <t>4.90</t>
  </si>
  <si>
    <t>2430.00</t>
  </si>
  <si>
    <t>5280.00</t>
  </si>
  <si>
    <r>
      <rPr>
        <b/>
        <sz val="11"/>
        <rFont val="等线"/>
        <charset val="134"/>
      </rPr>
      <t>需要注意的产品最低排产量说明</t>
    </r>
  </si>
  <si>
    <t>89101915007</t>
  </si>
  <si>
    <t>HADAY GOLDEN LABEL LIGHT SOY SAUCE (CLASSIC VERSION) 150ML*24</t>
  </si>
  <si>
    <t>HADAY NƯỚC TƯƠNG NHÃN VÀNG 150ML*24</t>
  </si>
  <si>
    <t>出口海天牌海天金标生抽(经典版)150ML*24(越南版；越南公司用)(玻璃瓶)</t>
  </si>
  <si>
    <r>
      <rPr>
        <sz val="10"/>
        <rFont val="SimSun"/>
        <charset val="134"/>
      </rPr>
      <t>海天牌海天金标生抽</t>
    </r>
    <r>
      <rPr>
        <sz val="10"/>
        <rFont val="Times New Roman"/>
        <charset val="134"/>
      </rPr>
      <t>(</t>
    </r>
    <r>
      <rPr>
        <sz val="10"/>
        <rFont val="SimSun"/>
        <charset val="134"/>
      </rPr>
      <t>经典版</t>
    </r>
    <r>
      <rPr>
        <sz val="10"/>
        <rFont val="Times New Roman"/>
        <charset val="134"/>
      </rPr>
      <t>)150ML*24</t>
    </r>
  </si>
  <si>
    <t>150ML*24</t>
  </si>
  <si>
    <t>7.80</t>
  </si>
  <si>
    <t>4.40</t>
  </si>
  <si>
    <t>2370.00</t>
  </si>
  <si>
    <t>3590.00</t>
  </si>
  <si>
    <r>
      <rPr>
        <sz val="11"/>
        <rFont val="等线"/>
        <charset val="134"/>
      </rPr>
      <t>最低排产量</t>
    </r>
  </si>
  <si>
    <r>
      <rPr>
        <sz val="11"/>
        <rFont val="等线"/>
        <charset val="134"/>
      </rPr>
      <t>因产品为独立品质</t>
    </r>
    <r>
      <rPr>
        <sz val="11"/>
        <rFont val="Times New Roman"/>
        <charset val="134"/>
      </rPr>
      <t>(</t>
    </r>
    <r>
      <rPr>
        <sz val="11"/>
        <rFont val="等线"/>
        <charset val="134"/>
      </rPr>
      <t>需单独排产</t>
    </r>
    <r>
      <rPr>
        <sz val="11"/>
        <rFont val="Times New Roman"/>
        <charset val="134"/>
      </rPr>
      <t>)</t>
    </r>
    <r>
      <rPr>
        <sz val="11"/>
        <rFont val="等线"/>
        <charset val="134"/>
      </rPr>
      <t>或小宗产品</t>
    </r>
    <r>
      <rPr>
        <sz val="11"/>
        <rFont val="Times New Roman"/>
        <charset val="134"/>
      </rPr>
      <t>(</t>
    </r>
    <r>
      <rPr>
        <sz val="11"/>
        <rFont val="等线"/>
        <charset val="134"/>
      </rPr>
      <t>内销排产次数极低</t>
    </r>
    <r>
      <rPr>
        <sz val="11"/>
        <rFont val="Times New Roman"/>
        <charset val="134"/>
      </rPr>
      <t>)</t>
    </r>
    <r>
      <rPr>
        <sz val="11"/>
        <rFont val="等线"/>
        <charset val="134"/>
      </rPr>
      <t>，如单独排产会造成极高的生产成本。</t>
    </r>
    <r>
      <rPr>
        <sz val="11"/>
        <rFont val="等线"/>
        <charset val="134"/>
      </rPr>
      <t xml:space="preserve">
事业部提出针对该类型产品提出最低排产量要求：</t>
    </r>
    <r>
      <rPr>
        <b/>
        <sz val="11"/>
        <color rgb="FFFF0000"/>
        <rFont val="等线"/>
        <charset val="134"/>
      </rPr>
      <t>单次截单日出口汇总的产品需求须满足最低排产量方可启动排产，如单次截单日不满足，则需要等下次截单日或者内销排产凑够最低排产量才安排生产。</t>
    </r>
  </si>
  <si>
    <t>89101915013</t>
  </si>
  <si>
    <t>HADAY GOLDEN LABEL LIGHT SOY SAUCE (CLASSIC VERSION) 155ML*48</t>
  </si>
  <si>
    <t>出口海天牌海天金标生抽(经典版)150ML*24(越南版；越南公司用；南宁生产)(玻璃瓶)</t>
  </si>
  <si>
    <r>
      <rPr>
        <sz val="10"/>
        <rFont val="宋体"/>
        <charset val="134"/>
      </rPr>
      <t>海天牌海天金标生抽</t>
    </r>
    <r>
      <rPr>
        <sz val="10"/>
        <rFont val="Times New Roman"/>
        <charset val="134"/>
      </rPr>
      <t>(</t>
    </r>
    <r>
      <rPr>
        <sz val="10"/>
        <rFont val="宋体"/>
        <charset val="134"/>
      </rPr>
      <t>经典版</t>
    </r>
    <r>
      <rPr>
        <sz val="10"/>
        <rFont val="Times New Roman"/>
        <charset val="134"/>
      </rPr>
      <t>)150ML*24</t>
    </r>
  </si>
  <si>
    <t>89101915017</t>
  </si>
  <si>
    <t>HADAY NƯỚC TƯƠNG NHÃN VÀNG 155ML*48</t>
  </si>
  <si>
    <t>出口海天牌海天金标生抽(经典版)155ML*48(越南版；越南公司用)(PET瓶)</t>
  </si>
  <si>
    <r>
      <rPr>
        <sz val="10"/>
        <rFont val="SimSun"/>
        <charset val="134"/>
      </rPr>
      <t>海天牌海天金标生抽</t>
    </r>
    <r>
      <rPr>
        <sz val="10"/>
        <rFont val="Times New Roman"/>
        <charset val="134"/>
      </rPr>
      <t>(</t>
    </r>
    <r>
      <rPr>
        <sz val="10"/>
        <rFont val="SimSun"/>
        <charset val="134"/>
      </rPr>
      <t>经典版</t>
    </r>
    <r>
      <rPr>
        <sz val="10"/>
        <rFont val="Times New Roman"/>
        <charset val="134"/>
      </rPr>
      <t>)155ML*48</t>
    </r>
  </si>
  <si>
    <t>155ML*48</t>
  </si>
  <si>
    <t>10.30</t>
  </si>
  <si>
    <t>1350.00</t>
  </si>
  <si>
    <t>2720.00</t>
  </si>
  <si>
    <t>89101950014</t>
  </si>
  <si>
    <t>HADAY GOLDEN LABEL LIGHT SOY SAUCE (CLASSIC VERSION) 500ML*12</t>
  </si>
  <si>
    <t>HADAY NƯỚC TƯƠNG NHÃN VÀNG 500ML*12</t>
  </si>
  <si>
    <t>出口海天牌海天金标生抽(经典版)500ML*12(越南版；越南公司用)(玻璃瓶)</t>
  </si>
  <si>
    <r>
      <rPr>
        <sz val="10"/>
        <rFont val="SimSun"/>
        <charset val="134"/>
      </rPr>
      <t>海天牌海天金标生抽</t>
    </r>
    <r>
      <rPr>
        <sz val="10"/>
        <rFont val="Times New Roman"/>
        <charset val="134"/>
      </rPr>
      <t>(</t>
    </r>
    <r>
      <rPr>
        <sz val="10"/>
        <rFont val="SimSun"/>
        <charset val="134"/>
      </rPr>
      <t>经典版</t>
    </r>
    <r>
      <rPr>
        <sz val="10"/>
        <rFont val="Times New Roman"/>
        <charset val="134"/>
      </rPr>
      <t>)500ML*12</t>
    </r>
  </si>
  <si>
    <t>10.40</t>
  </si>
  <si>
    <t>7.30</t>
  </si>
  <si>
    <t>2690.00</t>
  </si>
  <si>
    <t>89101950025</t>
  </si>
  <si>
    <t>出口海天牌海天金标生抽(经典版)500ML*12(越南版；越南公司用；南宁生产)(玻璃瓶)</t>
  </si>
  <si>
    <r>
      <rPr>
        <sz val="10"/>
        <rFont val="SimSun"/>
        <charset val="134"/>
      </rPr>
      <t>海天牌海天金标生抽</t>
    </r>
    <r>
      <rPr>
        <sz val="10"/>
        <rFont val="Times New Roman"/>
        <charset val="134"/>
      </rPr>
      <t>(</t>
    </r>
    <r>
      <rPr>
        <sz val="10"/>
        <rFont val="SimSun"/>
        <charset val="134"/>
      </rPr>
      <t>经典版</t>
    </r>
    <r>
      <rPr>
        <sz val="10"/>
        <rFont val="Times New Roman"/>
        <charset val="134"/>
      </rPr>
      <t>)500mL*12</t>
    </r>
  </si>
  <si>
    <r>
      <rPr>
        <sz val="11"/>
        <color theme="1"/>
        <rFont val="等线"/>
        <charset val="134"/>
      </rPr>
      <t>品种</t>
    </r>
  </si>
  <si>
    <r>
      <rPr>
        <sz val="11"/>
        <color theme="1"/>
        <rFont val="等线"/>
        <charset val="134"/>
      </rPr>
      <t>品类</t>
    </r>
  </si>
  <si>
    <r>
      <rPr>
        <sz val="11"/>
        <color theme="1"/>
        <rFont val="等线"/>
        <charset val="134"/>
      </rPr>
      <t>最低排产量</t>
    </r>
  </si>
  <si>
    <r>
      <rPr>
        <sz val="11"/>
        <color theme="1"/>
        <rFont val="等线"/>
        <charset val="134"/>
      </rPr>
      <t>说明</t>
    </r>
  </si>
  <si>
    <r>
      <rPr>
        <sz val="11"/>
        <color theme="1"/>
        <rFont val="等线"/>
        <charset val="134"/>
      </rPr>
      <t>规格说明</t>
    </r>
  </si>
  <si>
    <r>
      <rPr>
        <sz val="11"/>
        <color theme="1"/>
        <rFont val="等线"/>
        <charset val="134"/>
      </rPr>
      <t>备注</t>
    </r>
  </si>
  <si>
    <t>89101950011</t>
  </si>
  <si>
    <t>出口海天牌海天金标生抽(经典版)500ML*12(越南公司用)(玻璃瓶)</t>
  </si>
  <si>
    <r>
      <rPr>
        <sz val="11"/>
        <color theme="1"/>
        <rFont val="等线"/>
        <charset val="134"/>
      </rPr>
      <t>酱油</t>
    </r>
  </si>
  <si>
    <r>
      <rPr>
        <sz val="11"/>
        <color theme="1"/>
        <rFont val="等线"/>
        <charset val="134"/>
      </rPr>
      <t>海鲜酱油（经典版）</t>
    </r>
  </si>
  <si>
    <r>
      <rPr>
        <sz val="11"/>
        <color theme="1"/>
        <rFont val="Times New Roman"/>
        <charset val="134"/>
      </rPr>
      <t>950</t>
    </r>
    <r>
      <rPr>
        <sz val="11"/>
        <color theme="1"/>
        <rFont val="等线"/>
        <charset val="134"/>
      </rPr>
      <t>箱</t>
    </r>
  </si>
  <si>
    <r>
      <rPr>
        <sz val="11"/>
        <color theme="1"/>
        <rFont val="等线"/>
        <charset val="134"/>
      </rPr>
      <t>独立品质产品</t>
    </r>
    <r>
      <rPr>
        <sz val="11"/>
        <color theme="1"/>
        <rFont val="等线"/>
        <charset val="134"/>
      </rPr>
      <t xml:space="preserve">
需单独排产</t>
    </r>
  </si>
  <si>
    <r>
      <rPr>
        <sz val="11"/>
        <color theme="1"/>
        <rFont val="等线"/>
        <charset val="134"/>
      </rPr>
      <t>规格不受限制，同单品不同规格的订单量可拼凑</t>
    </r>
  </si>
  <si>
    <r>
      <rPr>
        <sz val="11"/>
        <color theme="1"/>
        <rFont val="等线"/>
        <charset val="134"/>
      </rPr>
      <t>单次截单日订单累计满足最低排产量才会启动排产，否则计划不予排产，等下次截单日凑够订单量再排产</t>
    </r>
  </si>
  <si>
    <t>89101950023</t>
  </si>
  <si>
    <t>出口海天牌海天金标生抽(经典版)500ML*12(越南公司用；南宁生产)(玻璃瓶)</t>
  </si>
  <si>
    <r>
      <rPr>
        <sz val="10"/>
        <rFont val="宋体"/>
        <charset val="134"/>
      </rPr>
      <t>海天牌海天金标生抽</t>
    </r>
    <r>
      <rPr>
        <sz val="10"/>
        <rFont val="Times New Roman"/>
        <charset val="134"/>
      </rPr>
      <t>(</t>
    </r>
    <r>
      <rPr>
        <sz val="10"/>
        <rFont val="宋体"/>
        <charset val="134"/>
      </rPr>
      <t>经典版</t>
    </r>
    <r>
      <rPr>
        <sz val="10"/>
        <rFont val="Times New Roman"/>
        <charset val="134"/>
      </rPr>
      <t>)500mL*12</t>
    </r>
  </si>
  <si>
    <r>
      <rPr>
        <sz val="11"/>
        <color theme="1"/>
        <rFont val="等线"/>
        <charset val="134"/>
      </rPr>
      <t>金标生抽（经典版）</t>
    </r>
  </si>
  <si>
    <r>
      <rPr>
        <sz val="11"/>
        <color theme="1"/>
        <rFont val="Times New Roman"/>
        <charset val="134"/>
      </rPr>
      <t>1200</t>
    </r>
    <r>
      <rPr>
        <sz val="11"/>
        <color theme="1"/>
        <rFont val="等线"/>
        <charset val="134"/>
      </rPr>
      <t>箱</t>
    </r>
  </si>
  <si>
    <t>89101950012</t>
  </si>
  <si>
    <t xml:space="preserve">HADAY GOLDEN LABEL LIGHT SOY SAUCE (CLASSIC VERSION) 500ML*12 </t>
  </si>
  <si>
    <t>出口海天牌海天金标生抽(经典版)500ML*12(越南版；越南公司用)(PET瓶)</t>
  </si>
  <si>
    <r>
      <rPr>
        <sz val="10"/>
        <rFont val="宋体"/>
        <charset val="134"/>
      </rPr>
      <t>海天牌海天金标生抽</t>
    </r>
    <r>
      <rPr>
        <sz val="10"/>
        <rFont val="Times New Roman"/>
        <charset val="134"/>
      </rPr>
      <t>(</t>
    </r>
    <r>
      <rPr>
        <sz val="10"/>
        <rFont val="宋体"/>
        <charset val="134"/>
      </rPr>
      <t>经典版</t>
    </r>
    <r>
      <rPr>
        <sz val="10"/>
        <rFont val="Times New Roman"/>
        <charset val="134"/>
      </rPr>
      <t>)(PET</t>
    </r>
    <r>
      <rPr>
        <sz val="10"/>
        <rFont val="宋体"/>
        <charset val="134"/>
      </rPr>
      <t>瓶</t>
    </r>
    <r>
      <rPr>
        <sz val="10"/>
        <rFont val="Times New Roman"/>
        <charset val="134"/>
      </rPr>
      <t>)500ML*12</t>
    </r>
  </si>
  <si>
    <r>
      <rPr>
        <sz val="10"/>
        <color rgb="FFFF0000"/>
        <rFont val="宋体"/>
        <charset val="134"/>
      </rPr>
      <t>单支包装为</t>
    </r>
    <r>
      <rPr>
        <sz val="10"/>
        <color rgb="FFFF0000"/>
        <rFont val="Times New Roman"/>
        <charset val="134"/>
      </rPr>
      <t>PET</t>
    </r>
    <r>
      <rPr>
        <sz val="10"/>
        <color rgb="FFFF0000"/>
        <rFont val="宋体"/>
        <charset val="134"/>
      </rPr>
      <t>材质</t>
    </r>
  </si>
  <si>
    <r>
      <rPr>
        <sz val="11"/>
        <color theme="1"/>
        <rFont val="等线"/>
        <charset val="134"/>
      </rPr>
      <t>金标生抽（精选版）</t>
    </r>
  </si>
  <si>
    <r>
      <rPr>
        <sz val="11"/>
        <color theme="1"/>
        <rFont val="Times New Roman"/>
        <charset val="134"/>
      </rPr>
      <t>800</t>
    </r>
    <r>
      <rPr>
        <sz val="11"/>
        <color theme="1"/>
        <rFont val="等线"/>
        <charset val="134"/>
      </rPr>
      <t>箱</t>
    </r>
  </si>
  <si>
    <t>89101910908</t>
  </si>
  <si>
    <t>HADAY GOLDEN LABEL LIGHT SOY SAUCE (CLASSIC VERSION) 1.9L*6</t>
  </si>
  <si>
    <t>HADAY NƯỚC TƯƠNG NHÃN VÀNG 1.9L*6</t>
  </si>
  <si>
    <t>出口海天牌海天金标生抽(经典版)1.9L*6(越南版；越南公司用)(PET瓶)</t>
  </si>
  <si>
    <r>
      <rPr>
        <sz val="10"/>
        <rFont val="SimSun"/>
        <charset val="134"/>
      </rPr>
      <t>海天牌海天金标生抽</t>
    </r>
    <r>
      <rPr>
        <sz val="10"/>
        <rFont val="Times New Roman"/>
        <charset val="134"/>
      </rPr>
      <t>(</t>
    </r>
    <r>
      <rPr>
        <sz val="10"/>
        <rFont val="SimSun"/>
        <charset val="134"/>
      </rPr>
      <t>经典版</t>
    </r>
    <r>
      <rPr>
        <sz val="10"/>
        <rFont val="Times New Roman"/>
        <charset val="134"/>
      </rPr>
      <t>)1.9L*6</t>
    </r>
  </si>
  <si>
    <t>14.80</t>
  </si>
  <si>
    <t>13.90</t>
  </si>
  <si>
    <t>1890.00</t>
  </si>
  <si>
    <r>
      <rPr>
        <sz val="11"/>
        <color theme="1"/>
        <rFont val="等线"/>
        <charset val="134"/>
      </rPr>
      <t>招牌金标生抽</t>
    </r>
  </si>
  <si>
    <t>89101910917</t>
  </si>
  <si>
    <t>出口海天牌海天金标生抽(经典版)1.9L*6(越南版；越南公司用；南宁生产)(PET瓶)</t>
  </si>
  <si>
    <t>14.70</t>
  </si>
  <si>
    <t>1900.00</t>
  </si>
  <si>
    <r>
      <rPr>
        <sz val="11"/>
        <color theme="1"/>
        <rFont val="等线"/>
        <charset val="134"/>
      </rPr>
      <t>金标生抽王</t>
    </r>
  </si>
  <si>
    <t>89101910907</t>
  </si>
  <si>
    <t>出口海天牌海天金标生抽(经典版)1.9L*6(越南公司用)(PET瓶)</t>
  </si>
  <si>
    <r>
      <rPr>
        <sz val="11"/>
        <color theme="1"/>
        <rFont val="等线"/>
        <charset val="134"/>
      </rPr>
      <t>生抽王</t>
    </r>
  </si>
  <si>
    <t>89101910915</t>
  </si>
  <si>
    <t>出口海天牌海天金标生抽(经典版)1.9L*6(越南公司用；南宁生产)(PET瓶)</t>
  </si>
  <si>
    <r>
      <rPr>
        <sz val="11"/>
        <color theme="1"/>
        <rFont val="等线"/>
        <charset val="134"/>
      </rPr>
      <t>老抽王</t>
    </r>
  </si>
  <si>
    <t>89101940903</t>
  </si>
  <si>
    <t>HADAY GOLDEN LABEL LIGHT SOY SAUCE (CLASSIC VERSION) 4.9L*2</t>
  </si>
  <si>
    <t>HADAY NƯỚC TƯƠNG NHÃN VÀNG 4.9L*2</t>
  </si>
  <si>
    <t>出口海天牌海天金标生抽(经典版)4.9L*2(越南公司用)(PET瓶)</t>
  </si>
  <si>
    <r>
      <rPr>
        <sz val="10"/>
        <rFont val="宋体"/>
        <charset val="134"/>
      </rPr>
      <t>海天牌海天金标生抽</t>
    </r>
    <r>
      <rPr>
        <sz val="10"/>
        <rFont val="Times New Roman"/>
        <charset val="134"/>
      </rPr>
      <t>(</t>
    </r>
    <r>
      <rPr>
        <sz val="10"/>
        <rFont val="宋体"/>
        <charset val="134"/>
      </rPr>
      <t>经典版</t>
    </r>
    <r>
      <rPr>
        <sz val="10"/>
        <rFont val="Times New Roman"/>
        <charset val="134"/>
      </rPr>
      <t>)4.9L*2</t>
    </r>
  </si>
  <si>
    <t>2220.00</t>
  </si>
  <si>
    <r>
      <rPr>
        <sz val="10"/>
        <rFont val="宋体"/>
        <charset val="134"/>
      </rPr>
      <t>海天招牌草菇老抽</t>
    </r>
  </si>
  <si>
    <t>89140550006</t>
  </si>
  <si>
    <t>HADAY SIGNATURE MUSHROOM DARK SOY SAUCE 500ML*12</t>
  </si>
  <si>
    <t>HADAY HẮC XÌ DẦU HƯƠNG NẤM THƯỢNG HẠNG 500ML*12</t>
  </si>
  <si>
    <t>出口海天牌海天招牌草菇老抽500ML*12(越南公司用)(玻璃瓶)</t>
  </si>
  <si>
    <r>
      <rPr>
        <sz val="10"/>
        <rFont val="SimSun"/>
        <charset val="134"/>
      </rPr>
      <t>海天牌海天招牌草菇老抽</t>
    </r>
    <r>
      <rPr>
        <sz val="10"/>
        <rFont val="Times New Roman"/>
        <charset val="134"/>
      </rPr>
      <t>500ML*12</t>
    </r>
  </si>
  <si>
    <t>10.80</t>
  </si>
  <si>
    <t>1780.00</t>
  </si>
  <si>
    <t>2590.00</t>
  </si>
  <si>
    <r>
      <rPr>
        <sz val="11"/>
        <color theme="1"/>
        <rFont val="等线"/>
        <charset val="134"/>
      </rPr>
      <t>草菇老抽</t>
    </r>
  </si>
  <si>
    <t>89140517504</t>
  </si>
  <si>
    <t>HADAY SIGNATURE MUSHROOM DARK SOY SAUCE 1.75L*6</t>
  </si>
  <si>
    <t>HADAY HẮC XÌ DẦU HƯƠNG NẤM THƯỢNG HẠNG 1.75L*6</t>
  </si>
  <si>
    <t>出口海天牌海天招牌草菇老抽1.75L*6(越南公司用)(PET瓶)</t>
  </si>
  <si>
    <r>
      <rPr>
        <sz val="10"/>
        <rFont val="SimSun"/>
        <charset val="134"/>
      </rPr>
      <t>海天牌海天招牌草菇老抽</t>
    </r>
    <r>
      <rPr>
        <sz val="10"/>
        <rFont val="Times New Roman"/>
        <charset val="134"/>
      </rPr>
      <t>1.75L*6</t>
    </r>
  </si>
  <si>
    <t>14.50</t>
  </si>
  <si>
    <t>1930.00</t>
  </si>
  <si>
    <r>
      <rPr>
        <sz val="11"/>
        <color theme="1"/>
        <rFont val="等线"/>
        <charset val="134"/>
      </rPr>
      <t>珍选生抽</t>
    </r>
    <r>
      <rPr>
        <sz val="11"/>
        <color theme="1"/>
        <rFont val="Times New Roman"/>
        <charset val="134"/>
      </rPr>
      <t>5gal</t>
    </r>
  </si>
  <si>
    <r>
      <rPr>
        <sz val="11"/>
        <color theme="1"/>
        <rFont val="Times New Roman"/>
        <charset val="134"/>
      </rPr>
      <t>550</t>
    </r>
    <r>
      <rPr>
        <sz val="11"/>
        <color theme="1"/>
        <rFont val="等线"/>
        <charset val="134"/>
      </rPr>
      <t>桶</t>
    </r>
  </si>
  <si>
    <r>
      <rPr>
        <sz val="10"/>
        <rFont val="宋体"/>
        <charset val="134"/>
      </rPr>
      <t>一品鲜</t>
    </r>
  </si>
  <si>
    <t>89702017501</t>
  </si>
  <si>
    <r>
      <rPr>
        <sz val="10"/>
        <rFont val="宋体"/>
        <charset val="134"/>
      </rPr>
      <t>海天一品鲜</t>
    </r>
    <r>
      <rPr>
        <sz val="10"/>
        <rFont val="Times New Roman"/>
        <charset val="134"/>
      </rPr>
      <t>(</t>
    </r>
    <r>
      <rPr>
        <sz val="10"/>
        <rFont val="宋体"/>
        <charset val="134"/>
      </rPr>
      <t>复合调味料</t>
    </r>
    <r>
      <rPr>
        <sz val="10"/>
        <rFont val="Times New Roman"/>
        <charset val="134"/>
      </rPr>
      <t>)</t>
    </r>
  </si>
  <si>
    <t>HADAY SEASONED DIPPING SAUCE 1.75L*6</t>
  </si>
  <si>
    <t>NƯỚC CHẤM HADAY THƯỢNG HẠNG 1.75L*6</t>
  </si>
  <si>
    <t>出口海天牌海天一品鲜(复合调味料)1.75L*6(越南公司用)(PET瓶)</t>
  </si>
  <si>
    <r>
      <rPr>
        <sz val="10"/>
        <rFont val="SimSun"/>
        <charset val="134"/>
      </rPr>
      <t>海天牌海天一品鲜</t>
    </r>
    <r>
      <rPr>
        <sz val="10"/>
        <rFont val="Times New Roman"/>
        <charset val="134"/>
      </rPr>
      <t>(</t>
    </r>
    <r>
      <rPr>
        <sz val="10"/>
        <rFont val="SimSun"/>
        <charset val="134"/>
      </rPr>
      <t>复合调味料</t>
    </r>
    <r>
      <rPr>
        <sz val="10"/>
        <rFont val="Times New Roman"/>
        <charset val="134"/>
      </rPr>
      <t>)1.75L*6</t>
    </r>
  </si>
  <si>
    <t>89702050001</t>
  </si>
  <si>
    <t>HADAY SEASONED DIPPING SAUCE 500ML*12</t>
  </si>
  <si>
    <t>NƯỚC CHẤM HADAY THƯỢNG HẠNG 500ML*12</t>
  </si>
  <si>
    <t>出口海天牌海天一品鲜(复合调味料)500ML*12(越南公司用)(PET瓶)</t>
  </si>
  <si>
    <r>
      <rPr>
        <sz val="10"/>
        <rFont val="宋体"/>
        <charset val="134"/>
      </rPr>
      <t>海天牌海天一品鲜</t>
    </r>
    <r>
      <rPr>
        <sz val="10"/>
        <rFont val="Times New Roman"/>
        <charset val="134"/>
      </rPr>
      <t>(</t>
    </r>
    <r>
      <rPr>
        <sz val="10"/>
        <rFont val="宋体"/>
        <charset val="134"/>
      </rPr>
      <t>复合调味料</t>
    </r>
    <r>
      <rPr>
        <sz val="10"/>
        <rFont val="Times New Roman"/>
        <charset val="134"/>
      </rPr>
      <t>)(PET</t>
    </r>
    <r>
      <rPr>
        <sz val="10"/>
        <rFont val="宋体"/>
        <charset val="134"/>
      </rPr>
      <t>瓶</t>
    </r>
    <r>
      <rPr>
        <sz val="10"/>
        <rFont val="Times New Roman"/>
        <charset val="134"/>
      </rPr>
      <t>)500ML*12</t>
    </r>
  </si>
  <si>
    <r>
      <rPr>
        <sz val="10"/>
        <rFont val="宋体"/>
        <charset val="134"/>
      </rPr>
      <t>生抽酱油</t>
    </r>
  </si>
  <si>
    <t>89103510923</t>
  </si>
  <si>
    <r>
      <rPr>
        <sz val="10"/>
        <rFont val="宋体"/>
        <charset val="134"/>
      </rPr>
      <t>生抽酱油</t>
    </r>
    <r>
      <rPr>
        <sz val="10"/>
        <rFont val="Times New Roman"/>
        <charset val="134"/>
      </rPr>
      <t>(</t>
    </r>
    <r>
      <rPr>
        <sz val="10"/>
        <rFont val="宋体"/>
        <charset val="134"/>
      </rPr>
      <t>经典版</t>
    </r>
    <r>
      <rPr>
        <sz val="10"/>
        <rFont val="Times New Roman"/>
        <charset val="134"/>
      </rPr>
      <t>)</t>
    </r>
  </si>
  <si>
    <t>LIGHT SOY SAUCE (CLASSIC VERSION) 1.9L*6</t>
  </si>
  <si>
    <t>NƯỚC TƯƠNG THANH DỊU (VỊ TRUYỀN THỐNG) 1.9L*6</t>
  </si>
  <si>
    <t>出口海天牌生抽酱油(经典版)1.9L*6(越南版；越南公司用)(PET瓶)</t>
  </si>
  <si>
    <r>
      <rPr>
        <sz val="10"/>
        <rFont val="宋体"/>
        <charset val="134"/>
      </rPr>
      <t>海天牌生抽酱油</t>
    </r>
    <r>
      <rPr>
        <sz val="10"/>
        <rFont val="Times New Roman"/>
        <charset val="134"/>
      </rPr>
      <t>(</t>
    </r>
    <r>
      <rPr>
        <sz val="10"/>
        <rFont val="宋体"/>
        <charset val="134"/>
      </rPr>
      <t>经典版</t>
    </r>
    <r>
      <rPr>
        <sz val="10"/>
        <rFont val="Times New Roman"/>
        <charset val="134"/>
      </rPr>
      <t>)1.9L*6(PET</t>
    </r>
    <r>
      <rPr>
        <sz val="10"/>
        <rFont val="宋体"/>
        <charset val="134"/>
      </rPr>
      <t>瓶</t>
    </r>
    <r>
      <rPr>
        <sz val="10"/>
        <rFont val="Times New Roman"/>
        <charset val="134"/>
      </rPr>
      <t>)</t>
    </r>
  </si>
  <si>
    <t>1990.00</t>
  </si>
  <si>
    <t>89103550023</t>
  </si>
  <si>
    <t>LIGHT SOY SAUCE (CLASSIC VERSION) 500ML*12</t>
  </si>
  <si>
    <t>NƯỚC TƯƠNG THANH DỊU (VỊ TRUYỀN THỐNG) 500ML*12</t>
  </si>
  <si>
    <t>出口海天牌生抽酱油(经典版)500ML*12(越南版；越南公司用)(玻璃瓶)</t>
  </si>
  <si>
    <r>
      <rPr>
        <sz val="10"/>
        <rFont val="宋体"/>
        <charset val="134"/>
      </rPr>
      <t>海天牌生抽酱油</t>
    </r>
    <r>
      <rPr>
        <sz val="10"/>
        <rFont val="Times New Roman"/>
        <charset val="134"/>
      </rPr>
      <t>(</t>
    </r>
    <r>
      <rPr>
        <sz val="10"/>
        <rFont val="宋体"/>
        <charset val="134"/>
      </rPr>
      <t>经典版</t>
    </r>
    <r>
      <rPr>
        <sz val="10"/>
        <rFont val="Times New Roman"/>
        <charset val="134"/>
      </rPr>
      <t>)500mL*12(</t>
    </r>
    <r>
      <rPr>
        <sz val="10"/>
        <rFont val="宋体"/>
        <charset val="134"/>
      </rPr>
      <t>玻璃瓶</t>
    </r>
    <r>
      <rPr>
        <sz val="10"/>
        <rFont val="Times New Roman"/>
        <charset val="134"/>
      </rPr>
      <t>)</t>
    </r>
  </si>
  <si>
    <t>2800.00</t>
  </si>
  <si>
    <r>
      <rPr>
        <sz val="10"/>
        <rFont val="宋体"/>
        <charset val="134"/>
      </rPr>
      <t>老抽酱油</t>
    </r>
  </si>
  <si>
    <t>89103610917</t>
  </si>
  <si>
    <r>
      <rPr>
        <sz val="10"/>
        <rFont val="宋体"/>
        <charset val="134"/>
      </rPr>
      <t>老抽酱油</t>
    </r>
    <r>
      <rPr>
        <sz val="10"/>
        <rFont val="Times New Roman"/>
        <charset val="134"/>
      </rPr>
      <t>(</t>
    </r>
    <r>
      <rPr>
        <sz val="10"/>
        <rFont val="宋体"/>
        <charset val="134"/>
      </rPr>
      <t>经典版</t>
    </r>
    <r>
      <rPr>
        <sz val="10"/>
        <rFont val="Times New Roman"/>
        <charset val="134"/>
      </rPr>
      <t>)</t>
    </r>
  </si>
  <si>
    <t>DARK SOY SAUCE (CLASSIC VERSION) 1.9L*6</t>
  </si>
  <si>
    <t>HẮC XÌ DẦU (VỊ TRUYỀN THỐNG) 1.9L*6</t>
  </si>
  <si>
    <t>出口海天牌老抽酱油(经典版)1.9L*6(越南版；越南公司用)(PET瓶)</t>
  </si>
  <si>
    <r>
      <rPr>
        <sz val="10"/>
        <rFont val="宋体"/>
        <charset val="134"/>
      </rPr>
      <t>海天牌老抽酱油</t>
    </r>
    <r>
      <rPr>
        <sz val="10"/>
        <rFont val="Times New Roman"/>
        <charset val="134"/>
      </rPr>
      <t>(</t>
    </r>
    <r>
      <rPr>
        <sz val="10"/>
        <rFont val="宋体"/>
        <charset val="134"/>
      </rPr>
      <t>经典版</t>
    </r>
    <r>
      <rPr>
        <sz val="10"/>
        <rFont val="Times New Roman"/>
        <charset val="134"/>
      </rPr>
      <t>)1.9L*6(PET</t>
    </r>
    <r>
      <rPr>
        <sz val="10"/>
        <rFont val="宋体"/>
        <charset val="134"/>
      </rPr>
      <t>瓶</t>
    </r>
    <r>
      <rPr>
        <sz val="10"/>
        <rFont val="Times New Roman"/>
        <charset val="134"/>
      </rPr>
      <t>)</t>
    </r>
  </si>
  <si>
    <t>89103650019</t>
  </si>
  <si>
    <t>DARK SOY SAUCE (CLASSIC VERSION) 500ML*12</t>
  </si>
  <si>
    <t>HẮC XÌ DẦU (VỊ TRUYỀN THỐNG) 500ML*12</t>
  </si>
  <si>
    <t>出口海天牌老抽酱油(经典版)500ML*12(越南版；越南公司用)(玻璃瓶)</t>
  </si>
  <si>
    <r>
      <rPr>
        <sz val="10"/>
        <rFont val="宋体"/>
        <charset val="134"/>
      </rPr>
      <t>海天牌老抽酱油</t>
    </r>
    <r>
      <rPr>
        <sz val="10"/>
        <rFont val="Times New Roman"/>
        <charset val="134"/>
      </rPr>
      <t>(</t>
    </r>
    <r>
      <rPr>
        <sz val="10"/>
        <rFont val="宋体"/>
        <charset val="134"/>
      </rPr>
      <t>经典版</t>
    </r>
    <r>
      <rPr>
        <sz val="10"/>
        <rFont val="Times New Roman"/>
        <charset val="134"/>
      </rPr>
      <t>)500mL*12(</t>
    </r>
    <r>
      <rPr>
        <sz val="10"/>
        <rFont val="宋体"/>
        <charset val="134"/>
      </rPr>
      <t>玻璃瓶</t>
    </r>
    <r>
      <rPr>
        <sz val="10"/>
        <rFont val="Times New Roman"/>
        <charset val="134"/>
      </rPr>
      <t>)</t>
    </r>
  </si>
  <si>
    <r>
      <rPr>
        <sz val="10"/>
        <rFont val="宋体"/>
        <charset val="134"/>
      </rPr>
      <t>蒸鱼豉油</t>
    </r>
  </si>
  <si>
    <t>89100345006</t>
  </si>
  <si>
    <t>SEASONED SOY SAUCE FOR SEAFOOD 450ML*12</t>
  </si>
  <si>
    <t>HADAY NƯỚC TƯƠNG HẤP CÁ 450ML*12</t>
  </si>
  <si>
    <t>出口海天牌蒸鱼豉油450ML*12(越南公司用)(玻璃瓶)</t>
  </si>
  <si>
    <r>
      <rPr>
        <sz val="10"/>
        <rFont val="SimSun"/>
        <charset val="134"/>
      </rPr>
      <t>海天牌蒸鱼豉油</t>
    </r>
    <r>
      <rPr>
        <sz val="10"/>
        <rFont val="Times New Roman"/>
        <charset val="134"/>
      </rPr>
      <t>450ML*12</t>
    </r>
  </si>
  <si>
    <t>450ML*12</t>
  </si>
  <si>
    <t>10.00</t>
  </si>
  <si>
    <t>6.70</t>
  </si>
  <si>
    <t>1800.00</t>
  </si>
  <si>
    <r>
      <rPr>
        <sz val="11"/>
        <color theme="1"/>
        <rFont val="等线"/>
        <charset val="134"/>
      </rPr>
      <t>本酿造酱油</t>
    </r>
    <r>
      <rPr>
        <sz val="11"/>
        <color theme="1"/>
        <rFont val="Times New Roman"/>
        <charset val="134"/>
      </rPr>
      <t>5gal</t>
    </r>
  </si>
  <si>
    <t>89100345010</t>
  </si>
  <si>
    <t>出口海天牌蒸鱼豉油450ML*12(越南公司用；南宁生产)(玻璃瓶)</t>
  </si>
  <si>
    <t>2890.00</t>
  </si>
  <si>
    <t>89100317504</t>
  </si>
  <si>
    <t>SEASONED SOY SAUCE FOR SEAFOOD 1.75L*6</t>
  </si>
  <si>
    <t>HADAY NƯỚC TƯƠNG HẤP CÁ 1.75L*6</t>
  </si>
  <si>
    <t>出口海天牌蒸鱼豉油1.75L*6(越南公司用)(PET瓶)</t>
  </si>
  <si>
    <r>
      <rPr>
        <sz val="10"/>
        <rFont val="微软雅黑"/>
        <charset val="134"/>
      </rPr>
      <t>海天牌蒸鱼豉油</t>
    </r>
    <r>
      <rPr>
        <sz val="10"/>
        <rFont val="Times New Roman"/>
        <charset val="134"/>
      </rPr>
      <t>1.75L*6</t>
    </r>
  </si>
  <si>
    <t>13.80</t>
  </si>
  <si>
    <t>13.00</t>
  </si>
  <si>
    <t>2030.00</t>
  </si>
  <si>
    <t>89100317507</t>
  </si>
  <si>
    <t>出口海天牌蒸鱼豉油1.75L*6(越南公司用；南宁生产)(PET瓶)</t>
  </si>
  <si>
    <r>
      <rPr>
        <sz val="10"/>
        <color rgb="FFFF0000"/>
        <rFont val="SimSun"/>
        <charset val="134"/>
      </rPr>
      <t>小标签关系不存在，不可下单</t>
    </r>
  </si>
  <si>
    <t>1280.00</t>
  </si>
  <si>
    <r>
      <rPr>
        <sz val="10"/>
        <color theme="0"/>
        <rFont val="宋体"/>
        <charset val="134"/>
      </rPr>
      <t>客户小标签高度</t>
    </r>
    <r>
      <rPr>
        <sz val="10"/>
        <color theme="0"/>
        <rFont val="Times New Roman"/>
        <charset val="134"/>
      </rPr>
      <t>&gt;79mm</t>
    </r>
    <r>
      <rPr>
        <sz val="10"/>
        <color theme="0"/>
        <rFont val="宋体"/>
        <charset val="134"/>
      </rPr>
      <t>：</t>
    </r>
    <r>
      <rPr>
        <sz val="10"/>
        <color theme="0"/>
        <rFont val="Times New Roman"/>
        <charset val="134"/>
      </rPr>
      <t>1150</t>
    </r>
  </si>
  <si>
    <r>
      <rPr>
        <sz val="11"/>
        <color theme="1"/>
        <rFont val="等线"/>
        <charset val="134"/>
      </rPr>
      <t>鲜味生抽（经典版）（精选版）</t>
    </r>
  </si>
  <si>
    <r>
      <rPr>
        <sz val="10"/>
        <rFont val="宋体"/>
        <charset val="134"/>
      </rPr>
      <t>海天招牌老抽王</t>
    </r>
  </si>
  <si>
    <t>89110650005</t>
  </si>
  <si>
    <t>HADAY SIGNATURE DARK SOY SAUCE 500ML*12</t>
  </si>
  <si>
    <t>HADAY HẮC XÌ DẦU HẢO HẠNG 500ML*12</t>
  </si>
  <si>
    <t>出口海天牌海天招牌老抽王500ML*12(越南公司用)(玻璃瓶)</t>
  </si>
  <si>
    <r>
      <rPr>
        <sz val="10"/>
        <rFont val="SimSun"/>
        <charset val="134"/>
      </rPr>
      <t>海天牌海天招牌老抽王</t>
    </r>
    <r>
      <rPr>
        <sz val="10"/>
        <rFont val="Times New Roman"/>
        <charset val="134"/>
      </rPr>
      <t>500ML*12</t>
    </r>
  </si>
  <si>
    <r>
      <rPr>
        <sz val="11"/>
        <color theme="1"/>
        <rFont val="等线"/>
        <charset val="134"/>
      </rPr>
      <t>蚝油</t>
    </r>
  </si>
  <si>
    <r>
      <rPr>
        <sz val="11"/>
        <color theme="1"/>
        <rFont val="Times New Roman"/>
        <charset val="134"/>
      </rPr>
      <t>270g</t>
    </r>
    <r>
      <rPr>
        <sz val="11"/>
        <color theme="1"/>
        <rFont val="等线"/>
        <charset val="134"/>
      </rPr>
      <t>招牌蚝油</t>
    </r>
  </si>
  <si>
    <r>
      <rPr>
        <sz val="11"/>
        <color theme="1"/>
        <rFont val="Times New Roman"/>
        <charset val="134"/>
      </rPr>
      <t>5000</t>
    </r>
    <r>
      <rPr>
        <sz val="11"/>
        <color theme="1"/>
        <rFont val="等线"/>
        <charset val="134"/>
      </rPr>
      <t>箱</t>
    </r>
  </si>
  <si>
    <r>
      <rPr>
        <sz val="11"/>
        <color theme="1"/>
        <rFont val="等线"/>
        <charset val="134"/>
      </rPr>
      <t>内销小宗产品</t>
    </r>
    <r>
      <rPr>
        <sz val="11"/>
        <color theme="1"/>
        <rFont val="等线"/>
        <charset val="134"/>
      </rPr>
      <t xml:space="preserve">
每月排产频次极低</t>
    </r>
  </si>
  <si>
    <r>
      <rPr>
        <sz val="11"/>
        <color theme="1"/>
        <rFont val="等线"/>
        <charset val="134"/>
      </rPr>
      <t>规格受限制</t>
    </r>
  </si>
  <si>
    <t>89110650026</t>
  </si>
  <si>
    <t>出口海天牌海天招牌老抽王500ML*12(越南公司用)(PET瓶)</t>
  </si>
  <si>
    <t>3260.00</t>
  </si>
  <si>
    <t>89110617504</t>
  </si>
  <si>
    <t>HADAY SIGNATURE DARK SOY SAUCE 1.75L*6</t>
  </si>
  <si>
    <t>HADAY HẮC XÌ DẦU HẢO HẠNG 1.75L*6</t>
  </si>
  <si>
    <t>出口海天牌海天招牌老抽王1.75L*6(越南公司用)(PET瓶)</t>
  </si>
  <si>
    <r>
      <rPr>
        <sz val="10"/>
        <rFont val="SimSun"/>
        <charset val="134"/>
      </rPr>
      <t>海天牌海天招牌老抽王</t>
    </r>
    <r>
      <rPr>
        <sz val="10"/>
        <rFont val="Times New Roman"/>
        <charset val="134"/>
      </rPr>
      <t>1.75L*6</t>
    </r>
  </si>
  <si>
    <r>
      <rPr>
        <sz val="11"/>
        <color theme="1"/>
        <rFont val="Times New Roman"/>
        <charset val="134"/>
      </rPr>
      <t>550g</t>
    </r>
    <r>
      <rPr>
        <sz val="11"/>
        <color theme="1"/>
        <rFont val="等线"/>
        <charset val="134"/>
      </rPr>
      <t>招牌蚝油</t>
    </r>
  </si>
  <si>
    <r>
      <rPr>
        <sz val="10"/>
        <rFont val="宋体"/>
        <charset val="134"/>
      </rPr>
      <t>鲜味生抽（经典版）</t>
    </r>
  </si>
  <si>
    <t>89102150005</t>
  </si>
  <si>
    <t>DELICIOUS LIGHT SOY SAUCE (CLASSIC VERSION) 500ML*12</t>
  </si>
  <si>
    <t>HADAY NƯỚC TƯƠNG CHUẨN VỊ 500ML*12</t>
  </si>
  <si>
    <t>出口海天牌鲜味生抽(经典版)500ML*12(越南版；越南公司用)(玻璃瓶)</t>
  </si>
  <si>
    <r>
      <rPr>
        <sz val="10"/>
        <rFont val="SimSun"/>
        <charset val="134"/>
      </rPr>
      <t>海天牌鲜味生抽</t>
    </r>
    <r>
      <rPr>
        <sz val="10"/>
        <rFont val="Times New Roman"/>
        <charset val="134"/>
      </rPr>
      <t>(</t>
    </r>
    <r>
      <rPr>
        <sz val="10"/>
        <rFont val="SimSun"/>
        <charset val="134"/>
      </rPr>
      <t>经典版</t>
    </r>
    <r>
      <rPr>
        <sz val="10"/>
        <rFont val="Times New Roman"/>
        <charset val="134"/>
      </rPr>
      <t>)500ML*12</t>
    </r>
  </si>
  <si>
    <t>10.10</t>
  </si>
  <si>
    <t>7.00</t>
  </si>
  <si>
    <t>2770.00</t>
  </si>
  <si>
    <t>89102180003</t>
  </si>
  <si>
    <t>DELICIOUS LIGHT SOY SAUCE (CLASSIC VERSION) 800ML*12</t>
  </si>
  <si>
    <t>HADAY NƯỚC TƯƠNG CHUẨN VỊ 800ML*12</t>
  </si>
  <si>
    <t>出口海天牌鲜味生抽(经典版)800ML*12(越南公司用)(PE瓶)</t>
  </si>
  <si>
    <r>
      <rPr>
        <sz val="10"/>
        <rFont val="SimSun"/>
        <charset val="134"/>
      </rPr>
      <t>海天牌鲜味生抽</t>
    </r>
    <r>
      <rPr>
        <sz val="10"/>
        <rFont val="Times New Roman"/>
        <charset val="134"/>
      </rPr>
      <t>(</t>
    </r>
    <r>
      <rPr>
        <sz val="10"/>
        <rFont val="SimSun"/>
        <charset val="134"/>
      </rPr>
      <t>经典版</t>
    </r>
    <r>
      <rPr>
        <sz val="10"/>
        <rFont val="Times New Roman"/>
        <charset val="134"/>
      </rPr>
      <t>)800ML*12</t>
    </r>
  </si>
  <si>
    <t>800ML*12</t>
  </si>
  <si>
    <t>12.20</t>
  </si>
  <si>
    <t>11.30</t>
  </si>
  <si>
    <t>2300.00</t>
  </si>
  <si>
    <t>89102110907</t>
  </si>
  <si>
    <t>DELICIOUS LIGHT SOY SAUCE (CLASSIC VERSION) 1.9L*6</t>
  </si>
  <si>
    <t>HADAY NƯỚC TƯƠNG CHUẨN VỊ 1.9L*6</t>
  </si>
  <si>
    <t>出口海天牌鲜味生抽(经典版)1.9L*6(越南公司用)(PET瓶)</t>
  </si>
  <si>
    <r>
      <rPr>
        <sz val="10"/>
        <rFont val="SimSun"/>
        <charset val="134"/>
      </rPr>
      <t>海天牌鲜味生抽</t>
    </r>
    <r>
      <rPr>
        <sz val="10"/>
        <rFont val="Times New Roman"/>
        <charset val="134"/>
      </rPr>
      <t>(</t>
    </r>
    <r>
      <rPr>
        <sz val="10"/>
        <rFont val="SimSun"/>
        <charset val="134"/>
      </rPr>
      <t>经典版</t>
    </r>
    <r>
      <rPr>
        <sz val="10"/>
        <rFont val="Times New Roman"/>
        <charset val="134"/>
      </rPr>
      <t>)1.9L*6</t>
    </r>
  </si>
  <si>
    <t>14.30</t>
  </si>
  <si>
    <t>13.40</t>
  </si>
  <si>
    <t>1960.00</t>
  </si>
  <si>
    <r>
      <rPr>
        <sz val="10"/>
        <rFont val="宋体"/>
        <charset val="134"/>
      </rPr>
      <t>海天上等蚝油（经典版）</t>
    </r>
  </si>
  <si>
    <t>89401110001</t>
  </si>
  <si>
    <t>HADAY SUPERIOR OYSTER SAUCE (CLASSIC VERSION) 100G*48</t>
  </si>
  <si>
    <t>HADAY DẦU HÀO THƯỢNG HẠNG (CLASSIC VERSION) 100G*48</t>
  </si>
  <si>
    <t>出口海天牌海天上等蚝油(经典版)100g*48(越南版；越南公司用)(自立袋)</t>
  </si>
  <si>
    <r>
      <rPr>
        <sz val="10"/>
        <rFont val="SimSun"/>
        <charset val="134"/>
      </rPr>
      <t>海天牌海天上等蚝油</t>
    </r>
    <r>
      <rPr>
        <sz val="10"/>
        <rFont val="Times New Roman"/>
        <charset val="134"/>
      </rPr>
      <t>(</t>
    </r>
    <r>
      <rPr>
        <sz val="10"/>
        <rFont val="SimSun"/>
        <charset val="134"/>
      </rPr>
      <t>经典版</t>
    </r>
    <r>
      <rPr>
        <sz val="10"/>
        <rFont val="Times New Roman"/>
        <charset val="134"/>
      </rPr>
      <t>)100G*48</t>
    </r>
  </si>
  <si>
    <t>100G*48</t>
  </si>
  <si>
    <t>5.90</t>
  </si>
  <si>
    <t>4.80</t>
  </si>
  <si>
    <t>1250.00</t>
  </si>
  <si>
    <t>4750.00</t>
  </si>
  <si>
    <t>89440126013</t>
  </si>
  <si>
    <t>HADAY SUPERIOR OYSTER SAUCE (CLASSIC VERSION) 260G*24</t>
  </si>
  <si>
    <t>HADAY DẦU HÀO THƯỢNG HẠNG (CLASSIC VERSION) 260G*24</t>
  </si>
  <si>
    <t>出口海天牌海天上等蚝油(经典版)260g*24(越南版；越南公司用)(玻璃瓶)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</si>
  <si>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)260G*24</t>
    </r>
  </si>
  <si>
    <t>260G*24</t>
  </si>
  <si>
    <t>6.24</t>
  </si>
  <si>
    <t>89440126014</t>
  </si>
  <si>
    <t>出口海天牌海天上等蚝油(经典版)260g*24(越南版；越南公司用；南宁生产)(玻璃瓶)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</si>
  <si>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)260g*24</t>
    </r>
  </si>
  <si>
    <t>89440126016</t>
  </si>
  <si>
    <t>出口海天牌海天上等蚝油(经典版)260g*24(越南公司用)(玻璃瓶)</t>
  </si>
  <si>
    <t>89440126015</t>
  </si>
  <si>
    <t>出口海天牌海天上等蚝油(经典版)260g*24(越南公司用；南宁生产)(玻璃瓶)</t>
  </si>
  <si>
    <t>89440159013</t>
  </si>
  <si>
    <t>HADAY SUPERIOR OYSTER SAUCE (CLASSIC VERSION) 590G*9</t>
  </si>
  <si>
    <t>HADAY DẦU HÀO THƯỢNG HẠNG (CLASSIC VERSION) 590G*9</t>
  </si>
  <si>
    <t>出口海天牌海天上等蚝油(经典版)590g*9(越南版；越南公司用)(PET挤挤瓶)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</si>
  <si>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)590G*9</t>
    </r>
  </si>
  <si>
    <t>590G*9</t>
  </si>
  <si>
    <t>6.00</t>
  </si>
  <si>
    <t>5.31</t>
  </si>
  <si>
    <t>2700.00</t>
  </si>
  <si>
    <t>4670.00</t>
  </si>
  <si>
    <t>89401159001</t>
  </si>
  <si>
    <t>出口海天牌海天上等蚝油(经典版)590g*9(越南版；越南公司用；南宁生产)(PET挤挤瓶)</t>
  </si>
  <si>
    <t>2760.00</t>
  </si>
  <si>
    <t>89401159016</t>
  </si>
  <si>
    <t>出口海天牌海天上等蚝油(经典版)590g*9(越南公司用)(PET挤挤瓶)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</si>
  <si>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)590g*9</t>
    </r>
  </si>
  <si>
    <t>89440170016</t>
  </si>
  <si>
    <t>HADAY SUPERIOR OYSTER SAUCE (CLASSIC VERSION) 700G*12</t>
  </si>
  <si>
    <t>HADAY DẦU HÀO THƯỢNG HẠNG (CLASSIC VERSION) 700G*12</t>
  </si>
  <si>
    <t>出口海天牌海天上等蚝油(经典版)700g*12(越南版；越南公司用)(玻璃瓶)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</si>
  <si>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)700G*12</t>
    </r>
  </si>
  <si>
    <t>700G*12</t>
  </si>
  <si>
    <t>12.40</t>
  </si>
  <si>
    <t>8.40</t>
  </si>
  <si>
    <t>1500.00</t>
  </si>
  <si>
    <t>2260.00</t>
  </si>
  <si>
    <r>
      <rPr>
        <sz val="10"/>
        <color theme="0"/>
        <rFont val="宋体"/>
        <charset val="134"/>
      </rPr>
      <t>出口大标签版：</t>
    </r>
    <r>
      <rPr>
        <sz val="10"/>
        <color theme="0"/>
        <rFont val="Times New Roman"/>
        <charset val="134"/>
      </rPr>
      <t>1500</t>
    </r>
  </si>
  <si>
    <t>89440170017</t>
  </si>
  <si>
    <t>出口海天牌海天上等蚝油(经典版)700g*12(越南版；越南公司用；南宁生产)(玻璃瓶)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</si>
  <si>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)700g*12</t>
    </r>
  </si>
  <si>
    <t>1430.00</t>
  </si>
  <si>
    <t>89440170015</t>
  </si>
  <si>
    <t>出口海天牌海天上等蚝油(经典版)700g*12(越南公司用)(玻璃瓶)</t>
  </si>
  <si>
    <t>89440170018</t>
  </si>
  <si>
    <t>出口海天牌海天上等蚝油(经典版)700g*12(越南公司用；南宁生产)(玻璃瓶)</t>
  </si>
  <si>
    <t>89440100115</t>
  </si>
  <si>
    <t>HADAY SUPERIOR OYSTER SAUCE (CLASSIC VERSION) 1KG*9</t>
  </si>
  <si>
    <t>HADAY DẦU HÀO THƯỢNG HẠNG (CLASSIC VERSION) 1KG*9</t>
  </si>
  <si>
    <t>出口海天牌海天上等蚝油(经典版)1KG*9(越南版；越南公司用)(PET挤挤瓶)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</si>
  <si>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)1KG*9</t>
    </r>
  </si>
  <si>
    <t>1KG*9</t>
  </si>
  <si>
    <t>9.00</t>
  </si>
  <si>
    <t>1680.00</t>
  </si>
  <si>
    <t>89440100116</t>
  </si>
  <si>
    <t>出口海天牌海天上等蚝油(经典版)1KG*9(越南版；越南公司用；南宁生产)(PET挤挤瓶)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</si>
  <si>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)1kg*9</t>
    </r>
  </si>
  <si>
    <t>89440122716</t>
  </si>
  <si>
    <t>HADAY SUPERIOR OYSTER SAUCE (CLASSIC VERSION) 2.27KG*4</t>
  </si>
  <si>
    <t>HADAY DẦU HÀO THƯỢNG HẠNG (CLASSIC VERSION) 2.27KG*4</t>
  </si>
  <si>
    <t>出口海天牌海天上等蚝油(经典版)2.27KG*4(越南版；越南公司用)(PE瓶)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</si>
  <si>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)2.27KG*4</t>
    </r>
  </si>
  <si>
    <t>2.27KG*4</t>
  </si>
  <si>
    <t>9.08</t>
  </si>
  <si>
    <t>1700.00</t>
  </si>
  <si>
    <r>
      <rPr>
        <sz val="10"/>
        <color theme="0"/>
        <rFont val="宋体"/>
        <charset val="134"/>
      </rPr>
      <t>美加版：</t>
    </r>
    <r>
      <rPr>
        <sz val="10"/>
        <color theme="0"/>
        <rFont val="Times New Roman"/>
        <charset val="134"/>
      </rPr>
      <t>1380</t>
    </r>
  </si>
  <si>
    <t>89440122717</t>
  </si>
  <si>
    <t>出口海天牌海天上等蚝油(经典版)2.27KG*4(越南版；越南公司用；南宁生产)(PE瓶)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</si>
  <si>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)2.27kg*4</t>
    </r>
  </si>
  <si>
    <t>89440122715</t>
  </si>
  <si>
    <t>出口海天牌海天上等蚝油(经典版)2.27KG*4(越南公司用)(PE瓶)</t>
  </si>
  <si>
    <t>89440122718</t>
  </si>
  <si>
    <t>出口海天牌海天上等蚝油(经典版)2.27KG*4(越南公司用；南宁生产)(PE瓶)</t>
  </si>
  <si>
    <t>89440100614</t>
  </si>
  <si>
    <t>HADAY SUPERIOR OYSTER SAUCE (CLASSIC VERSION) 6KG*2</t>
  </si>
  <si>
    <t>HADAY DẦU HÀO THƯỢNG HẠNG (CLASSIC VERSION) 6KG*2</t>
  </si>
  <si>
    <t>出口海天牌海天上等蚝油(经典版)6KG*2(越南版；越南公司用)(PE瓶)</t>
  </si>
  <si>
    <r>
      <rPr>
        <sz val="10"/>
        <rFont val="SimSun"/>
        <charset val="134"/>
      </rPr>
      <t>海天牌海天上等蚝油</t>
    </r>
    <r>
      <rPr>
        <sz val="10"/>
        <rFont val="Times New Roman"/>
        <charset val="134"/>
      </rPr>
      <t>(</t>
    </r>
    <r>
      <rPr>
        <sz val="10"/>
        <rFont val="SimSun"/>
        <charset val="134"/>
      </rPr>
      <t>经典版</t>
    </r>
    <r>
      <rPr>
        <sz val="10"/>
        <rFont val="Times New Roman"/>
        <charset val="134"/>
      </rPr>
      <t>)6KG*2</t>
    </r>
  </si>
  <si>
    <t>6KG*2</t>
  </si>
  <si>
    <t>12.00</t>
  </si>
  <si>
    <t>1440.00</t>
  </si>
  <si>
    <t>2170.00</t>
  </si>
  <si>
    <r>
      <rPr>
        <sz val="10"/>
        <color theme="0"/>
        <rFont val="宋体"/>
        <charset val="134"/>
      </rPr>
      <t>美加版：</t>
    </r>
    <r>
      <rPr>
        <sz val="10"/>
        <color theme="0"/>
        <rFont val="Times New Roman"/>
        <charset val="134"/>
      </rPr>
      <t>1440</t>
    </r>
  </si>
  <si>
    <t>89440100615</t>
  </si>
  <si>
    <t>出口海天牌海天上等蚝油(经典版)6KG*2(越南版；越南公司用；南宁生产)(PE瓶)</t>
  </si>
  <si>
    <t>89440100617</t>
  </si>
  <si>
    <t>出口海天牌海天上等蚝油(经典版)6KG*2(越南公司用)(PE瓶)</t>
  </si>
  <si>
    <t>89440100616</t>
  </si>
  <si>
    <t>出口海天牌海天上等蚝油(经典版)6KG*2(越南公司用；南宁生产)(PE瓶)</t>
  </si>
  <si>
    <r>
      <rPr>
        <sz val="10"/>
        <rFont val="宋体"/>
        <charset val="134"/>
      </rPr>
      <t>海天金字装蚝油（经典版）</t>
    </r>
  </si>
  <si>
    <t>89440551507</t>
  </si>
  <si>
    <t>HADAY GOLDEN SIGNATURE OYSTER SAUCE (CLASSIC VERSION) 515G*12</t>
  </si>
  <si>
    <t>HADAY DẦU HÀO CHUẨN VỊ (CLASSIC VERSION) 515G*12</t>
  </si>
  <si>
    <t>出口海天牌海天金字装蚝油(经典版)515g*12(越南版；越南公司用)(玻璃瓶)</t>
  </si>
  <si>
    <r>
      <rPr>
        <sz val="10"/>
        <rFont val="SimSun"/>
        <charset val="134"/>
      </rPr>
      <t>海天牌海天金字装蚝油</t>
    </r>
    <r>
      <rPr>
        <sz val="10"/>
        <rFont val="Times New Roman"/>
        <charset val="134"/>
      </rPr>
      <t>(</t>
    </r>
    <r>
      <rPr>
        <sz val="10"/>
        <rFont val="SimSun"/>
        <charset val="134"/>
      </rPr>
      <t>经典版</t>
    </r>
    <r>
      <rPr>
        <sz val="10"/>
        <rFont val="Times New Roman"/>
        <charset val="134"/>
      </rPr>
      <t>)515G*12</t>
    </r>
  </si>
  <si>
    <t>515G*12</t>
  </si>
  <si>
    <t>9.50</t>
  </si>
  <si>
    <t>6.18</t>
  </si>
  <si>
    <t>2950.00</t>
  </si>
  <si>
    <r>
      <rPr>
        <sz val="10"/>
        <color theme="0"/>
        <rFont val="宋体"/>
        <charset val="134"/>
      </rPr>
      <t>非越南版：</t>
    </r>
    <r>
      <rPr>
        <sz val="10"/>
        <color theme="0"/>
        <rFont val="Times New Roman"/>
        <charset val="134"/>
      </rPr>
      <t>1780</t>
    </r>
  </si>
  <si>
    <t>89440551508</t>
  </si>
  <si>
    <t>出口海天牌海天金字装蚝油(经典版)515g*12(越南版；越南公司用；南宁生产)(玻璃瓶)</t>
  </si>
  <si>
    <t>89440551509</t>
  </si>
  <si>
    <t>出口海天牌海天金字装蚝油(经典版)515g*12(越南公司用)(玻璃瓶)</t>
  </si>
  <si>
    <t>89440568007</t>
  </si>
  <si>
    <t>HADAY GOLDEN SIGNATURE OYSTER SAUCE (CLASSIC VERSION) 680G*12</t>
  </si>
  <si>
    <t>HADAY DẦU HÀO CHUẨN VỊ (CLASSIC VERSION) 680G*12</t>
  </si>
  <si>
    <t>出口海天牌海天金字装蚝油(经典版)680g*12(越南版；越南公司用)(玻璃瓶)</t>
  </si>
  <si>
    <r>
      <rPr>
        <sz val="10"/>
        <rFont val="SimSun"/>
        <charset val="134"/>
      </rPr>
      <t>海天牌海天金字装蚝油</t>
    </r>
    <r>
      <rPr>
        <sz val="10"/>
        <rFont val="Times New Roman"/>
        <charset val="134"/>
      </rPr>
      <t>(</t>
    </r>
    <r>
      <rPr>
        <sz val="10"/>
        <rFont val="SimSun"/>
        <charset val="134"/>
      </rPr>
      <t>经典版</t>
    </r>
    <r>
      <rPr>
        <sz val="10"/>
        <rFont val="Times New Roman"/>
        <charset val="134"/>
      </rPr>
      <t>)680G*12</t>
    </r>
  </si>
  <si>
    <t>680G*12</t>
  </si>
  <si>
    <t>12.10</t>
  </si>
  <si>
    <t>8.16</t>
  </si>
  <si>
    <t>2310.00</t>
  </si>
  <si>
    <r>
      <rPr>
        <sz val="10"/>
        <color theme="0"/>
        <rFont val="宋体"/>
        <charset val="134"/>
      </rPr>
      <t>非越南版：</t>
    </r>
    <r>
      <rPr>
        <sz val="10"/>
        <color theme="0"/>
        <rFont val="Times New Roman"/>
        <charset val="134"/>
      </rPr>
      <t>1280</t>
    </r>
  </si>
  <si>
    <t>89440568008</t>
  </si>
  <si>
    <t>出口海天牌海天金字装蚝油(经典版)680g*12(越南版；越南公司用；南宁生产)(玻璃瓶)</t>
  </si>
  <si>
    <t>89440568009</t>
  </si>
  <si>
    <t>出口海天牌海天金字装蚝油(经典版)680g*12(越南公司用)(玻璃瓶)</t>
  </si>
  <si>
    <t>89440522506</t>
  </si>
  <si>
    <t>HADAY GOLDEN SIGNATURE OYSTER SAUCE (CLASSIC VERSION) 2.25KG*4</t>
  </si>
  <si>
    <t>HADAY DẦU HÀO CHUẨN VỊ (CLASSIC VERSION) 2.25KG*4</t>
  </si>
  <si>
    <t>出口海天牌海天金字装蚝油(经典版)2.25KG*4(越南版；越南公司用)(PE瓶)</t>
  </si>
  <si>
    <r>
      <rPr>
        <sz val="10"/>
        <rFont val="SimSun"/>
        <charset val="134"/>
      </rPr>
      <t>海天牌海天金字装蚝油</t>
    </r>
    <r>
      <rPr>
        <sz val="10"/>
        <rFont val="Times New Roman"/>
        <charset val="134"/>
      </rPr>
      <t>(</t>
    </r>
    <r>
      <rPr>
        <sz val="10"/>
        <rFont val="SimSun"/>
        <charset val="134"/>
      </rPr>
      <t>经典版</t>
    </r>
    <r>
      <rPr>
        <sz val="10"/>
        <rFont val="Times New Roman"/>
        <charset val="134"/>
      </rPr>
      <t>)2.25KG*4</t>
    </r>
  </si>
  <si>
    <t>2.25KG*4</t>
  </si>
  <si>
    <t>9.90</t>
  </si>
  <si>
    <t>2830.00</t>
  </si>
  <si>
    <t>89440522507</t>
  </si>
  <si>
    <t>出口海天牌海天金字装蚝油(经典版)2.25KG*4(越南版；越南公司用；南宁生产)(PE瓶)</t>
  </si>
  <si>
    <t>89440522508</t>
  </si>
  <si>
    <t>出口海天牌海天金字装蚝油(经典版)2.25KG*4(越南公司用)(PE瓶)</t>
  </si>
  <si>
    <t>89401322501</t>
  </si>
  <si>
    <t>出口海天牌海天金字装蚝油(经典版)2.25KG*4(越南公司用；南宁生产)(PE瓶)</t>
  </si>
  <si>
    <r>
      <rPr>
        <sz val="10"/>
        <rFont val="SimSun"/>
        <charset val="134"/>
      </rPr>
      <t>海天牌海天金字装蚝油</t>
    </r>
    <r>
      <rPr>
        <sz val="10"/>
        <rFont val="Times New Roman"/>
        <charset val="134"/>
      </rPr>
      <t>(</t>
    </r>
    <r>
      <rPr>
        <sz val="10"/>
        <rFont val="SimSun"/>
        <charset val="134"/>
      </rPr>
      <t>经典版</t>
    </r>
    <r>
      <rPr>
        <sz val="10"/>
        <rFont val="Times New Roman"/>
        <charset val="134"/>
      </rPr>
      <t>)2.25kg*4</t>
    </r>
  </si>
  <si>
    <t>89440500606</t>
  </si>
  <si>
    <t>HADAY GOLDEN SIGNATURE OYSTER SAUCE (CLASSIC VERSION) 6KG*2</t>
  </si>
  <si>
    <t>HADAY DẦU HÀO CHUẨN VỊ (CLASSIC VERSION) 6KG*2</t>
  </si>
  <si>
    <t>出口海天牌海天金字装蚝油(经典版)6KG*2(越南版；越南公司用)(PE瓶)</t>
  </si>
  <si>
    <r>
      <rPr>
        <sz val="10"/>
        <rFont val="SimSun"/>
        <charset val="134"/>
      </rPr>
      <t>海天牌海天金字装蚝油</t>
    </r>
    <r>
      <rPr>
        <sz val="10"/>
        <rFont val="Times New Roman"/>
        <charset val="134"/>
      </rPr>
      <t>(</t>
    </r>
    <r>
      <rPr>
        <sz val="10"/>
        <rFont val="SimSun"/>
        <charset val="134"/>
      </rPr>
      <t>经典版</t>
    </r>
    <r>
      <rPr>
        <sz val="10"/>
        <rFont val="Times New Roman"/>
        <charset val="134"/>
      </rPr>
      <t>)6KG*2</t>
    </r>
  </si>
  <si>
    <t>89440500607</t>
  </si>
  <si>
    <t>出口海天牌海天金字装蚝油(经典版)6KG*2(越南版；越南公司用；南宁生产)(PE瓶)</t>
  </si>
  <si>
    <t>89401300601</t>
  </si>
  <si>
    <t>出口海天牌海天金字装蚝油(经典版)6KG*2(越南公司用；南宁生产)(PE瓶)</t>
  </si>
  <si>
    <t>89440500608</t>
  </si>
  <si>
    <t>出口海天牌海天金字装蚝油(经典版)6KG*2(越南公司用)(PE瓶)</t>
  </si>
  <si>
    <r>
      <rPr>
        <sz val="10"/>
        <rFont val="宋体"/>
        <charset val="134"/>
      </rPr>
      <t>海天香菇素食蚝油</t>
    </r>
  </si>
  <si>
    <t>89403863505</t>
  </si>
  <si>
    <r>
      <rPr>
        <sz val="10"/>
        <rFont val="SimSun"/>
        <charset val="134"/>
      </rPr>
      <t>海天香菇素食蚝油</t>
    </r>
  </si>
  <si>
    <t>SHIITAKE MUSHROOM VEGETARIAN OYSTER FLAVOURED SAUCE 635G*9</t>
  </si>
  <si>
    <t>DẦU HÀO CHAY NẤM HƯƠNG 635G*9</t>
  </si>
  <si>
    <t>出口海天牌香菇素食蚝油635g*9(越南版；越南公司用)(PET挤挤瓶)</t>
  </si>
  <si>
    <r>
      <rPr>
        <sz val="10"/>
        <rFont val="SimSun"/>
        <charset val="134"/>
      </rPr>
      <t>出口海天牌香菇素食蚝油</t>
    </r>
    <r>
      <rPr>
        <sz val="10"/>
        <rFont val="Times New Roman"/>
        <charset val="134"/>
      </rPr>
      <t>635g*9</t>
    </r>
  </si>
  <si>
    <t>635g*9</t>
  </si>
  <si>
    <t>4380.00</t>
  </si>
  <si>
    <r>
      <rPr>
        <sz val="10"/>
        <rFont val="宋体"/>
        <charset val="134"/>
      </rPr>
      <t>叉烧酱</t>
    </r>
  </si>
  <si>
    <t>89501928001</t>
  </si>
  <si>
    <r>
      <rPr>
        <sz val="10"/>
        <rFont val="宋体"/>
        <charset val="134"/>
      </rPr>
      <t>海天叉烧酱</t>
    </r>
  </si>
  <si>
    <t>HADAY CHAR SIU SAUCE 280G*15</t>
  </si>
  <si>
    <t>HADAY XỐT ƯỚP XÁ XÍU 280G*15</t>
  </si>
  <si>
    <t>出口海天牌叉烧酱280g*15(越南版；越南公司用)(玻璃瓶)</t>
  </si>
  <si>
    <r>
      <rPr>
        <sz val="10"/>
        <rFont val="宋体"/>
        <charset val="134"/>
      </rPr>
      <t>海天牌叉烧酱</t>
    </r>
    <r>
      <rPr>
        <sz val="10"/>
        <rFont val="Times New Roman"/>
        <charset val="134"/>
      </rPr>
      <t>280G*15</t>
    </r>
  </si>
  <si>
    <t>280G*15</t>
  </si>
  <si>
    <t>6.80</t>
  </si>
  <si>
    <t>4.20</t>
  </si>
  <si>
    <t>4000.00</t>
  </si>
  <si>
    <t>89501970501</t>
  </si>
  <si>
    <t>HADAY CHAR SIU SAUCE 7.5KG*2</t>
  </si>
  <si>
    <t>HADAY XỐT ƯỚP XÁ XÍU 7.5KG*2</t>
  </si>
  <si>
    <t>出口海天牌叉烧酱7.5KG*2(越南版；越南公司用)(PE瓶)</t>
  </si>
  <si>
    <r>
      <rPr>
        <sz val="10"/>
        <rFont val="宋体"/>
        <charset val="134"/>
      </rPr>
      <t>海天牌叉烧酱</t>
    </r>
    <r>
      <rPr>
        <sz val="10"/>
        <rFont val="Times New Roman"/>
        <charset val="134"/>
      </rPr>
      <t>7.5KG*2</t>
    </r>
  </si>
  <si>
    <t>7.5KG*2</t>
  </si>
  <si>
    <t>16.00</t>
  </si>
  <si>
    <t>15.00</t>
  </si>
  <si>
    <t>1750.00</t>
  </si>
  <si>
    <r>
      <rPr>
        <sz val="10"/>
        <rFont val="宋体"/>
        <charset val="134"/>
      </rPr>
      <t>柱候酱</t>
    </r>
  </si>
  <si>
    <t>89500325503</t>
  </si>
  <si>
    <r>
      <rPr>
        <sz val="10"/>
        <rFont val="宋体"/>
        <charset val="134"/>
      </rPr>
      <t>海天柱候酱</t>
    </r>
  </si>
  <si>
    <t>CHU HOU PASTE 255G*15</t>
  </si>
  <si>
    <t>TƯƠNG TRỤ HẦU 255G*15</t>
  </si>
  <si>
    <t>出口海天牌柱侯酱255g*15(越南公司用)(玻璃瓶)</t>
  </si>
  <si>
    <r>
      <rPr>
        <sz val="10"/>
        <rFont val="宋体"/>
        <charset val="134"/>
      </rPr>
      <t>海天牌柱候酱</t>
    </r>
    <r>
      <rPr>
        <sz val="10"/>
        <rFont val="Times New Roman"/>
        <charset val="134"/>
      </rPr>
      <t>255G*15</t>
    </r>
  </si>
  <si>
    <t>255G*15</t>
  </si>
  <si>
    <t>6.40</t>
  </si>
  <si>
    <t>3.83</t>
  </si>
  <si>
    <t>89500360503</t>
  </si>
  <si>
    <t>CHU HOU PASTE 6.5KG*2</t>
  </si>
  <si>
    <t>TƯƠNG TRỤ HẦU 6.5KG*2</t>
  </si>
  <si>
    <t>出口海天牌柱侯酱6.5KG*2(越南公司用)(PE瓶)</t>
  </si>
  <si>
    <r>
      <rPr>
        <sz val="10"/>
        <rFont val="宋体"/>
        <charset val="134"/>
      </rPr>
      <t>海天牌柱候酱</t>
    </r>
    <r>
      <rPr>
        <sz val="10"/>
        <rFont val="Times New Roman"/>
        <charset val="134"/>
      </rPr>
      <t>6.5KG*2</t>
    </r>
  </si>
  <si>
    <t>6.5KG*2</t>
  </si>
  <si>
    <r>
      <rPr>
        <sz val="10"/>
        <rFont val="宋体"/>
        <charset val="134"/>
      </rPr>
      <t>烤肉酱</t>
    </r>
  </si>
  <si>
    <t>89501123001</t>
  </si>
  <si>
    <t>HADAY GRILLED SAUCE 230G*15</t>
  </si>
  <si>
    <t>HADAY NƯỚC XỐT THỊT NƯỚNG 230G*15</t>
  </si>
  <si>
    <t>出口海天牌烤肉酱230g*15(越南公司用)(玻璃瓶)</t>
  </si>
  <si>
    <r>
      <rPr>
        <sz val="10"/>
        <rFont val="SimSun"/>
        <charset val="134"/>
      </rPr>
      <t>海天牌烤肉酱</t>
    </r>
    <r>
      <rPr>
        <sz val="10"/>
        <rFont val="Times New Roman"/>
        <charset val="134"/>
      </rPr>
      <t>230g*15</t>
    </r>
  </si>
  <si>
    <t>230G*15</t>
  </si>
  <si>
    <t>3.45</t>
  </si>
  <si>
    <t>3000.00</t>
  </si>
  <si>
    <t>89501134001</t>
  </si>
  <si>
    <t>HADAY GRILLED SAUCE 340G*15</t>
  </si>
  <si>
    <t>HADAY NƯỚC XỐT THỊT NƯỚNG 340G*15</t>
  </si>
  <si>
    <t>出口海天牌烤肉酱340g*15(越南公司用)(玻璃瓶)</t>
  </si>
  <si>
    <r>
      <rPr>
        <sz val="10"/>
        <rFont val="SimSun"/>
        <charset val="134"/>
      </rPr>
      <t>海天牌烤肉酱</t>
    </r>
    <r>
      <rPr>
        <sz val="10"/>
        <rFont val="Times New Roman"/>
        <charset val="134"/>
      </rPr>
      <t>340g*15</t>
    </r>
  </si>
  <si>
    <t>340G*15</t>
  </si>
  <si>
    <t>8.50</t>
  </si>
  <si>
    <t>5.10</t>
  </si>
  <si>
    <t>2150.00</t>
  </si>
  <si>
    <t>3290.00</t>
  </si>
  <si>
    <t>89501180001</t>
  </si>
  <si>
    <t>HADAY GRILLED SAUCE 800G*6</t>
  </si>
  <si>
    <t>HADAY NƯỚC XỐT THỊT NƯỚNG 800G*6</t>
  </si>
  <si>
    <t>出口海天牌烤肉酱800g*6(越南公司用)(玻璃瓶)</t>
  </si>
  <si>
    <r>
      <rPr>
        <sz val="10"/>
        <rFont val="SimSun"/>
        <charset val="134"/>
      </rPr>
      <t>海天牌烤肉酱</t>
    </r>
    <r>
      <rPr>
        <sz val="10"/>
        <rFont val="Times New Roman"/>
        <charset val="134"/>
      </rPr>
      <t>800g*6</t>
    </r>
  </si>
  <si>
    <t>800G*6</t>
  </si>
  <si>
    <t>7.20</t>
  </si>
  <si>
    <t>3890.00</t>
  </si>
  <si>
    <r>
      <rPr>
        <sz val="10"/>
        <rFont val="宋体"/>
        <charset val="134"/>
      </rPr>
      <t>海天招牌黄豆酱</t>
    </r>
  </si>
  <si>
    <t>89580123006</t>
  </si>
  <si>
    <t>HADAY SIGNATURE SOYBEAN SAUCE 230G*15</t>
  </si>
  <si>
    <t>HADAY TƯƠNG ĐẬU NÀNH THƯỢNG HẠNG 230G*15</t>
  </si>
  <si>
    <t>出口海天牌海天招牌黄豆酱230g*15(越南公司用)(玻璃瓶)</t>
  </si>
  <si>
    <r>
      <rPr>
        <sz val="10"/>
        <rFont val="SimSun"/>
        <charset val="134"/>
      </rPr>
      <t>海天牌海天招牌黄豆酱</t>
    </r>
    <r>
      <rPr>
        <sz val="10"/>
        <rFont val="Times New Roman"/>
        <charset val="134"/>
      </rPr>
      <t>230G*15</t>
    </r>
  </si>
  <si>
    <r>
      <rPr>
        <sz val="10"/>
        <color theme="0"/>
        <rFont val="宋体"/>
        <charset val="134"/>
      </rPr>
      <t>越南版：</t>
    </r>
    <r>
      <rPr>
        <sz val="10"/>
        <color theme="0"/>
        <rFont val="Times New Roman"/>
        <charset val="134"/>
      </rPr>
      <t>4000</t>
    </r>
  </si>
  <si>
    <t>89580123005</t>
  </si>
  <si>
    <t>出口海天牌海天招牌黄豆酱230g*15(越南版；越南公司用)(玻璃瓶)</t>
  </si>
  <si>
    <r>
      <rPr>
        <sz val="10"/>
        <rFont val="宋体"/>
        <charset val="134"/>
      </rPr>
      <t>海天牌海天招牌黄豆酱</t>
    </r>
    <r>
      <rPr>
        <sz val="10"/>
        <rFont val="Times New Roman"/>
        <charset val="134"/>
      </rPr>
      <t>230G*15</t>
    </r>
  </si>
  <si>
    <t>3900.00</t>
  </si>
  <si>
    <t>89580134007</t>
  </si>
  <si>
    <t>HADAY SIGNATURE SOYBEAN SAUCE 340G*15</t>
  </si>
  <si>
    <t>HADAY TƯƠNG ĐẬU NÀNH THƯỢNG HẠNG 340G*15</t>
  </si>
  <si>
    <t>出口海天牌海天招牌黄豆酱340g*15(越南版；越南公司用)(玻璃瓶)</t>
  </si>
  <si>
    <r>
      <rPr>
        <sz val="10"/>
        <rFont val="宋体"/>
        <charset val="134"/>
      </rPr>
      <t>海天牌海天招牌黄豆酱</t>
    </r>
    <r>
      <rPr>
        <sz val="10"/>
        <rFont val="Times New Roman"/>
        <charset val="134"/>
      </rPr>
      <t>340G*15</t>
    </r>
  </si>
  <si>
    <r>
      <rPr>
        <sz val="10"/>
        <color theme="0"/>
        <rFont val="宋体"/>
        <charset val="134"/>
      </rPr>
      <t>出口大标签版：</t>
    </r>
    <r>
      <rPr>
        <sz val="10"/>
        <color theme="0"/>
        <rFont val="Times New Roman"/>
        <charset val="134"/>
      </rPr>
      <t>2700</t>
    </r>
  </si>
  <si>
    <t>89580134008</t>
  </si>
  <si>
    <t>出口海天牌海天招牌黄豆酱340g*15(越南公司用)(玻璃瓶)</t>
  </si>
  <si>
    <t>89580180007</t>
  </si>
  <si>
    <t>HADAY SIGNATURE SOYBEAN SAUCE 800G*6</t>
  </si>
  <si>
    <t>HADAY TƯƠNG ĐẬU NÀNH THƯỢNG HẠNG 800G*6</t>
  </si>
  <si>
    <t>出口海天牌海天招牌黄豆酱800g*6(越南公司用)(玻璃瓶)</t>
  </si>
  <si>
    <r>
      <rPr>
        <sz val="10"/>
        <rFont val="宋体"/>
        <charset val="134"/>
      </rPr>
      <t>海天牌海天招牌黄豆酱</t>
    </r>
    <r>
      <rPr>
        <sz val="10"/>
        <rFont val="Times New Roman"/>
        <charset val="134"/>
      </rPr>
      <t>800G*6</t>
    </r>
  </si>
  <si>
    <t>2570.00</t>
  </si>
  <si>
    <r>
      <rPr>
        <sz val="10"/>
        <color theme="0"/>
        <rFont val="宋体"/>
        <charset val="134"/>
      </rPr>
      <t>通用版：</t>
    </r>
    <r>
      <rPr>
        <sz val="10"/>
        <color theme="0"/>
        <rFont val="Times New Roman"/>
        <charset val="134"/>
      </rPr>
      <t>2570</t>
    </r>
  </si>
  <si>
    <t>89580180006</t>
  </si>
  <si>
    <t>出口海天牌海天招牌黄豆酱800g*6(越南版；越南公司用)(玻璃瓶)</t>
  </si>
  <si>
    <r>
      <rPr>
        <sz val="10"/>
        <rFont val="Times New Roman"/>
        <charset val="134"/>
      </rPr>
      <t>0</t>
    </r>
    <r>
      <rPr>
        <sz val="10"/>
        <rFont val="宋体"/>
        <charset val="134"/>
      </rPr>
      <t>黄豆酱</t>
    </r>
  </si>
  <si>
    <t>89500636005</t>
  </si>
  <si>
    <t>0 SOYBEAN PASTE 360G*15</t>
  </si>
  <si>
    <t>HADAY TƯƠNG ĐẬU NÀNH 0 PHỤ GIA THỰC PHẨM 360G*15</t>
  </si>
  <si>
    <t>出口海天牌0黄豆酱360g*15(越南公司用)(玻璃瓶)</t>
  </si>
  <si>
    <r>
      <rPr>
        <sz val="10"/>
        <rFont val="SimSun"/>
        <charset val="134"/>
      </rPr>
      <t>海天牌</t>
    </r>
    <r>
      <rPr>
        <sz val="10"/>
        <rFont val="Times New Roman"/>
        <charset val="134"/>
      </rPr>
      <t>0</t>
    </r>
    <r>
      <rPr>
        <sz val="10"/>
        <rFont val="SimSun"/>
        <charset val="134"/>
      </rPr>
      <t>黄豆酱</t>
    </r>
    <r>
      <rPr>
        <sz val="10"/>
        <rFont val="Times New Roman"/>
        <charset val="134"/>
      </rPr>
      <t>360G*15</t>
    </r>
  </si>
  <si>
    <t>360G*15</t>
  </si>
  <si>
    <t>8.60</t>
  </si>
  <si>
    <t>2100.00</t>
  </si>
  <si>
    <t>89500680005</t>
  </si>
  <si>
    <t>0 SOYBEAN PASTE 800G*6</t>
  </si>
  <si>
    <t>HADAY TƯƠNG ĐẬU NÀNH 0 PHỤ GIA THỰC PHẨM 800G*6</t>
  </si>
  <si>
    <t>出口海天牌0黄豆酱800g*6(越南公司用)(玻璃瓶)</t>
  </si>
  <si>
    <r>
      <rPr>
        <sz val="10"/>
        <rFont val="SimSun"/>
        <charset val="134"/>
      </rPr>
      <t>海天牌</t>
    </r>
    <r>
      <rPr>
        <sz val="10"/>
        <rFont val="Times New Roman"/>
        <charset val="134"/>
      </rPr>
      <t>0</t>
    </r>
    <r>
      <rPr>
        <sz val="10"/>
        <rFont val="SimSun"/>
        <charset val="134"/>
      </rPr>
      <t>黄豆酱</t>
    </r>
    <r>
      <rPr>
        <sz val="10"/>
        <rFont val="Times New Roman"/>
        <charset val="134"/>
      </rPr>
      <t>800G*6</t>
    </r>
  </si>
  <si>
    <r>
      <rPr>
        <sz val="10"/>
        <rFont val="宋体"/>
        <charset val="134"/>
      </rPr>
      <t>海鲜酱</t>
    </r>
  </si>
  <si>
    <t>89500900703</t>
  </si>
  <si>
    <t>HOISIN SAUCE 7KG*2</t>
  </si>
  <si>
    <t>XỐT TƯƠNG NGỌT 7KG*2</t>
  </si>
  <si>
    <t>出口海天牌海鲜酱7KG*2(越南公司用)(PE瓶)</t>
  </si>
  <si>
    <r>
      <rPr>
        <sz val="10"/>
        <rFont val="SimSun"/>
        <charset val="134"/>
      </rPr>
      <t>海天牌海鲜酱</t>
    </r>
    <r>
      <rPr>
        <sz val="10"/>
        <rFont val="Times New Roman"/>
        <charset val="134"/>
      </rPr>
      <t>7kg*2</t>
    </r>
  </si>
  <si>
    <t>7KG*2</t>
  </si>
  <si>
    <r>
      <rPr>
        <sz val="10"/>
        <rFont val="宋体"/>
        <charset val="134"/>
      </rPr>
      <t>香菇酱</t>
    </r>
  </si>
  <si>
    <t>89502130001</t>
  </si>
  <si>
    <t>HADAY SHIITAKE MUSHROOMS SAUCE 300G*15</t>
  </si>
  <si>
    <t>HADAY XỐT NẤM HƯƠNG 300G*15</t>
  </si>
  <si>
    <t>出口海天牌香菇酱300g*15(越南版；越南公司用)(玻璃瓶)</t>
  </si>
  <si>
    <r>
      <rPr>
        <sz val="10"/>
        <rFont val="SimSun"/>
        <charset val="134"/>
      </rPr>
      <t>海天牌香菇酱</t>
    </r>
    <r>
      <rPr>
        <sz val="10"/>
        <rFont val="Times New Roman"/>
        <charset val="134"/>
      </rPr>
      <t>300g*15</t>
    </r>
  </si>
  <si>
    <t>300G*15</t>
  </si>
  <si>
    <t>4.50</t>
  </si>
  <si>
    <t>89502106001</t>
  </si>
  <si>
    <t>HADAY SHIITAKE MUSHROOMS SAUCE 60G*48</t>
  </si>
  <si>
    <t>HADAY XỐT NẤM HƯƠNG 60G*48</t>
  </si>
  <si>
    <t>出口海天牌香菇酱60g*48(越南版；越南公司用)(普通袋)</t>
  </si>
  <si>
    <r>
      <rPr>
        <sz val="10"/>
        <rFont val="SimSun"/>
        <charset val="134"/>
      </rPr>
      <t>海天牌香菇酱</t>
    </r>
    <r>
      <rPr>
        <sz val="10"/>
        <rFont val="Times New Roman"/>
        <charset val="134"/>
      </rPr>
      <t>60g*48</t>
    </r>
  </si>
  <si>
    <t>60G*48</t>
  </si>
  <si>
    <t>2864.00</t>
  </si>
  <si>
    <t>6056.00</t>
  </si>
  <si>
    <r>
      <rPr>
        <sz val="10"/>
        <rFont val="宋体"/>
        <charset val="134"/>
      </rPr>
      <t>芝麻香油</t>
    </r>
  </si>
  <si>
    <t>89730225001</t>
  </si>
  <si>
    <t>SESAME OIL 250ML*12</t>
  </si>
  <si>
    <t>HADAY DẦU MÈ 250ML*12</t>
  </si>
  <si>
    <t>出口海天牌芝麻香油250ML*12(越南公司用)</t>
  </si>
  <si>
    <r>
      <rPr>
        <sz val="10"/>
        <rFont val="SimSun"/>
        <charset val="134"/>
      </rPr>
      <t>海天牌芝麻香油</t>
    </r>
    <r>
      <rPr>
        <sz val="10"/>
        <rFont val="Times New Roman"/>
        <charset val="134"/>
      </rPr>
      <t>250ML*12</t>
    </r>
  </si>
  <si>
    <t>250ML*12</t>
  </si>
  <si>
    <t>5.70</t>
  </si>
  <si>
    <t>2.80</t>
  </si>
  <si>
    <t>3300.00</t>
  </si>
  <si>
    <t>4910.00</t>
  </si>
  <si>
    <t>89730210903</t>
  </si>
  <si>
    <t>SESAME OIL 1.9L*6</t>
  </si>
  <si>
    <t>HADAY DẦU MÈ 1.9L*6</t>
  </si>
  <si>
    <t>出口海天牌芝麻香油1.9L*6(越南公司用)</t>
  </si>
  <si>
    <r>
      <rPr>
        <sz val="10"/>
        <rFont val="SimSun"/>
        <charset val="134"/>
      </rPr>
      <t>海天牌芝麻香油</t>
    </r>
    <r>
      <rPr>
        <sz val="10"/>
        <rFont val="Times New Roman"/>
        <charset val="134"/>
      </rPr>
      <t>1.9L*6</t>
    </r>
  </si>
  <si>
    <t>11.50</t>
  </si>
  <si>
    <t>1000.00</t>
  </si>
  <si>
    <t>鸡精调味料</t>
  </si>
  <si>
    <t>CHICKEN SEASONING GRANULES (COMPOUND SEASONING) 2.5KG*4</t>
  </si>
  <si>
    <t>GIA VỊ HẠT NÊM GÀ 2.5KG*4</t>
  </si>
  <si>
    <r>
      <rPr>
        <sz val="10"/>
        <rFont val="Times New Roman"/>
        <charset val="134"/>
      </rPr>
      <t>出口海天牌经典鸡精调味料</t>
    </r>
    <r>
      <rPr>
        <sz val="9"/>
        <color rgb="FF606266"/>
        <rFont val="Helvetica"/>
        <charset val="134"/>
      </rPr>
      <t>2.5KG*4(</t>
    </r>
    <r>
      <rPr>
        <sz val="9"/>
        <color rgb="FF606266"/>
        <rFont val="SimSun"/>
        <charset val="134"/>
      </rPr>
      <t>越南版；越南公司用</t>
    </r>
    <r>
      <rPr>
        <sz val="9"/>
        <color rgb="FF606266"/>
        <rFont val="Helvetica"/>
        <charset val="134"/>
      </rPr>
      <t>)(</t>
    </r>
    <r>
      <rPr>
        <sz val="9"/>
        <color rgb="FF606266"/>
        <rFont val="SimSun"/>
        <charset val="134"/>
      </rPr>
      <t>普通袋</t>
    </r>
    <r>
      <rPr>
        <sz val="9"/>
        <color rgb="FF606266"/>
        <rFont val="Helvetica"/>
        <charset val="134"/>
      </rPr>
      <t>)</t>
    </r>
  </si>
  <si>
    <r>
      <rPr>
        <sz val="10"/>
        <rFont val="Times New Roman"/>
        <charset val="134"/>
      </rPr>
      <t>海天牌经典鸡精调味料</t>
    </r>
    <r>
      <rPr>
        <sz val="9"/>
        <color rgb="FF606266"/>
        <rFont val="Helvetica"/>
        <charset val="134"/>
      </rPr>
      <t>2.5KG*4</t>
    </r>
  </si>
  <si>
    <t>2.5KG*4</t>
  </si>
  <si>
    <t>CHICKEN SEASONING GRANULES (COMPOUND SEASONING) 200G*24</t>
  </si>
  <si>
    <t>GIA VỊ HẠT NÊM GÀ 200G*24</t>
  </si>
  <si>
    <r>
      <rPr>
        <sz val="10"/>
        <rFont val="Times New Roman"/>
        <charset val="134"/>
      </rPr>
      <t>出口海天牌经典鸡精调味料</t>
    </r>
    <r>
      <rPr>
        <sz val="10"/>
        <rFont val="Times New Roman"/>
        <charset val="134"/>
      </rPr>
      <t>200G*24(</t>
    </r>
    <r>
      <rPr>
        <sz val="10"/>
        <rFont val="SimSun"/>
        <charset val="134"/>
      </rPr>
      <t>含嘴袋；越南版；越南公司用</t>
    </r>
    <r>
      <rPr>
        <sz val="10"/>
        <rFont val="Times New Roman"/>
        <charset val="134"/>
      </rPr>
      <t>)(</t>
    </r>
    <r>
      <rPr>
        <sz val="10"/>
        <rFont val="SimSun"/>
        <charset val="134"/>
      </rPr>
      <t>自立袋</t>
    </r>
    <r>
      <rPr>
        <sz val="10"/>
        <rFont val="Times New Roman"/>
        <charset val="134"/>
      </rPr>
      <t>)</t>
    </r>
  </si>
  <si>
    <r>
      <rPr>
        <sz val="10"/>
        <rFont val="Times New Roman"/>
        <charset val="134"/>
      </rPr>
      <t>海天牌经典鸡精调味料</t>
    </r>
    <r>
      <rPr>
        <sz val="10"/>
        <rFont val="Times New Roman"/>
        <charset val="134"/>
      </rPr>
      <t>200G*24</t>
    </r>
  </si>
  <si>
    <t>200G*24</t>
  </si>
  <si>
    <r>
      <rPr>
        <sz val="10"/>
        <rFont val="宋体"/>
        <charset val="134"/>
      </rPr>
      <t>惠系白米醋</t>
    </r>
  </si>
  <si>
    <t>89201580001</t>
  </si>
  <si>
    <t>HADAY RICE VINEGAR 800mL*12</t>
  </si>
  <si>
    <t>HADAY GIẤM GẠO 800ML*12</t>
  </si>
  <si>
    <t>出口海天牌惠系白米醋800ML*12(越南版；越南公司用)(PET瓶)</t>
  </si>
  <si>
    <r>
      <rPr>
        <sz val="10"/>
        <rFont val="宋体"/>
        <charset val="134"/>
      </rPr>
      <t>海天牌惠系白米醋</t>
    </r>
    <r>
      <rPr>
        <sz val="10"/>
        <rFont val="Times New Roman"/>
        <charset val="134"/>
      </rPr>
      <t>800ML*12</t>
    </r>
  </si>
  <si>
    <t>9.70</t>
  </si>
  <si>
    <t>1670.00</t>
  </si>
  <si>
    <r>
      <rPr>
        <sz val="10"/>
        <rFont val="Times New Roman"/>
        <charset val="134"/>
      </rPr>
      <t>5</t>
    </r>
    <r>
      <rPr>
        <sz val="10"/>
        <rFont val="宋体"/>
        <charset val="134"/>
      </rPr>
      <t>度白醋</t>
    </r>
  </si>
  <si>
    <t>89201910901</t>
  </si>
  <si>
    <t>5% WHITE VINEGAR (CLASSIC VERSION) 1.9L*6</t>
  </si>
  <si>
    <t>GIẤM TRẮNG 5% (PHIÊN BẢN CỔ ĐIỂN) 1.9L*6</t>
  </si>
  <si>
    <t>出口海天牌5度白醋(经典版)1.9L*6(越南公司用)(PET瓶)</t>
  </si>
  <si>
    <r>
      <rPr>
        <sz val="10"/>
        <rFont val="SimSun"/>
        <charset val="134"/>
      </rPr>
      <t>海天牌</t>
    </r>
    <r>
      <rPr>
        <sz val="10"/>
        <rFont val="Times New Roman"/>
        <charset val="134"/>
      </rPr>
      <t>5</t>
    </r>
    <r>
      <rPr>
        <sz val="10"/>
        <rFont val="SimSun"/>
        <charset val="134"/>
      </rPr>
      <t>度白醋</t>
    </r>
    <r>
      <rPr>
        <sz val="10"/>
        <rFont val="Times New Roman"/>
        <charset val="134"/>
      </rPr>
      <t>(</t>
    </r>
    <r>
      <rPr>
        <sz val="10"/>
        <rFont val="SimSun"/>
        <charset val="134"/>
      </rPr>
      <t>经典版</t>
    </r>
    <r>
      <rPr>
        <sz val="10"/>
        <rFont val="Times New Roman"/>
        <charset val="134"/>
      </rPr>
      <t>)1.9L*6</t>
    </r>
  </si>
  <si>
    <t>12.60</t>
  </si>
  <si>
    <t>89201945001</t>
  </si>
  <si>
    <t>5% WHITE VINEGAR (CLASSIC VERSION) 450ML*12</t>
  </si>
  <si>
    <t>GIẤM TRẮNG 5% (PHIÊN BẢN CỔ ĐIỂN) 450ML*12</t>
  </si>
  <si>
    <t>出口海天牌5度白醋(经典版)450ML*12(越南公司用)(玻璃瓶)</t>
  </si>
  <si>
    <r>
      <rPr>
        <sz val="10"/>
        <rFont val="宋体"/>
        <charset val="134"/>
      </rPr>
      <t>海天牌</t>
    </r>
    <r>
      <rPr>
        <sz val="10"/>
        <rFont val="Times New Roman"/>
        <charset val="134"/>
      </rPr>
      <t>5</t>
    </r>
    <r>
      <rPr>
        <sz val="10"/>
        <rFont val="宋体"/>
        <charset val="134"/>
      </rPr>
      <t>度白醋</t>
    </r>
    <r>
      <rPr>
        <sz val="10"/>
        <rFont val="Times New Roman"/>
        <charset val="134"/>
      </rPr>
      <t>(</t>
    </r>
    <r>
      <rPr>
        <sz val="10"/>
        <rFont val="宋体"/>
        <charset val="134"/>
      </rPr>
      <t>经典版</t>
    </r>
    <r>
      <rPr>
        <sz val="10"/>
        <rFont val="Times New Roman"/>
        <charset val="134"/>
      </rPr>
      <t>)450ML*12</t>
    </r>
  </si>
  <si>
    <t>9.10</t>
  </si>
  <si>
    <t>3080.00</t>
  </si>
  <si>
    <t>苹果醋调味汁</t>
  </si>
  <si>
    <t>89209710903</t>
  </si>
  <si>
    <t>APPLE CIDER VINEGAR DRESSING 1.9L*6</t>
  </si>
  <si>
    <t>NƯỚC XỐT GIẤM TÁO 1.9L*6</t>
  </si>
  <si>
    <r>
      <rPr>
        <sz val="10"/>
        <rFont val="SimSun"/>
        <charset val="134"/>
      </rPr>
      <t>出口海天牌苹果醋调味汁</t>
    </r>
    <r>
      <rPr>
        <sz val="10"/>
        <rFont val="Times New Roman"/>
        <charset val="134"/>
      </rPr>
      <t>1.9L*6(</t>
    </r>
    <r>
      <rPr>
        <sz val="10"/>
        <rFont val="SimSun"/>
        <charset val="134"/>
      </rPr>
      <t>越南公司用</t>
    </r>
    <r>
      <rPr>
        <sz val="10"/>
        <rFont val="Times New Roman"/>
        <charset val="134"/>
      </rPr>
      <t>)(PET</t>
    </r>
    <r>
      <rPr>
        <sz val="10"/>
        <rFont val="SimSun"/>
        <charset val="134"/>
      </rPr>
      <t>瓶</t>
    </r>
    <r>
      <rPr>
        <sz val="10"/>
        <rFont val="Times New Roman"/>
        <charset val="134"/>
      </rPr>
      <t>)</t>
    </r>
  </si>
  <si>
    <r>
      <rPr>
        <sz val="10"/>
        <rFont val="SimSun"/>
        <charset val="134"/>
      </rPr>
      <t>海天牌苹果醋调味汁</t>
    </r>
    <r>
      <rPr>
        <sz val="10"/>
        <rFont val="Times New Roman"/>
        <charset val="134"/>
      </rPr>
      <t>1.9L*6</t>
    </r>
  </si>
  <si>
    <t>13.10</t>
  </si>
  <si>
    <t>89209745004</t>
  </si>
  <si>
    <t>APPLE CIDER VINEGAR DRESSING 450ML*12</t>
  </si>
  <si>
    <t>NƯỚC XỐT GIẤM TÁO 450ML*12</t>
  </si>
  <si>
    <r>
      <rPr>
        <sz val="10"/>
        <rFont val="SimSun"/>
        <charset val="134"/>
      </rPr>
      <t>出口海天牌苹果醋调味汁</t>
    </r>
    <r>
      <rPr>
        <sz val="10"/>
        <rFont val="Times New Roman"/>
        <charset val="134"/>
      </rPr>
      <t>450ML*12(</t>
    </r>
    <r>
      <rPr>
        <sz val="10"/>
        <rFont val="SimSun"/>
        <charset val="134"/>
      </rPr>
      <t>越南公司用</t>
    </r>
    <r>
      <rPr>
        <sz val="10"/>
        <rFont val="Times New Roman"/>
        <charset val="134"/>
      </rPr>
      <t>)(</t>
    </r>
    <r>
      <rPr>
        <sz val="10"/>
        <rFont val="SimSun"/>
        <charset val="134"/>
      </rPr>
      <t>玻璃瓶</t>
    </r>
    <r>
      <rPr>
        <sz val="10"/>
        <rFont val="Times New Roman"/>
        <charset val="134"/>
      </rPr>
      <t>)</t>
    </r>
  </si>
  <si>
    <r>
      <rPr>
        <sz val="10"/>
        <rFont val="SimSun"/>
        <charset val="134"/>
      </rPr>
      <t>海天牌苹果醋调味汁</t>
    </r>
    <r>
      <rPr>
        <sz val="10"/>
        <rFont val="Times New Roman"/>
        <charset val="134"/>
      </rPr>
      <t>450ML*12</t>
    </r>
  </si>
  <si>
    <t>9.80</t>
  </si>
  <si>
    <t>6.20</t>
  </si>
  <si>
    <t>陈醋</t>
  </si>
  <si>
    <t>89200745001</t>
  </si>
  <si>
    <t>MATURE VINEGAR 450ML*12</t>
  </si>
  <si>
    <t>GIẤM ĐEN (GIẤM LÊN MEN) 450ML*12</t>
  </si>
  <si>
    <t>出口海天牌陈醋450ML*12(越南公司用；1800工厂)(玻璃瓶)</t>
  </si>
  <si>
    <r>
      <rPr>
        <sz val="10"/>
        <rFont val="SimSun"/>
        <charset val="134"/>
      </rPr>
      <t>海天牌陈醋</t>
    </r>
    <r>
      <rPr>
        <sz val="10"/>
        <rFont val="Times New Roman"/>
        <charset val="134"/>
      </rPr>
      <t>450ML*12</t>
    </r>
  </si>
  <si>
    <t>9.20</t>
  </si>
  <si>
    <t>5.60</t>
  </si>
  <si>
    <t>3040.00</t>
  </si>
  <si>
    <t>89200710901</t>
  </si>
  <si>
    <t>MATURE VINEGAR 1.9L*6</t>
  </si>
  <si>
    <t>GIẤM ĐEN (GIẤM LÊN MEN) 1.9L*6</t>
  </si>
  <si>
    <r>
      <rPr>
        <sz val="10"/>
        <rFont val="SimSun"/>
        <charset val="134"/>
      </rPr>
      <t>出口海天牌陈醋</t>
    </r>
    <r>
      <rPr>
        <sz val="10"/>
        <rFont val="Times New Roman"/>
        <charset val="134"/>
      </rPr>
      <t>1.9L*6(</t>
    </r>
    <r>
      <rPr>
        <sz val="10"/>
        <rFont val="SimSun"/>
        <charset val="134"/>
      </rPr>
      <t>越南公司用；</t>
    </r>
    <r>
      <rPr>
        <sz val="10"/>
        <rFont val="Times New Roman"/>
        <charset val="134"/>
      </rPr>
      <t>1800</t>
    </r>
    <r>
      <rPr>
        <sz val="10"/>
        <rFont val="SimSun"/>
        <charset val="134"/>
      </rPr>
      <t>工厂</t>
    </r>
    <r>
      <rPr>
        <sz val="10"/>
        <rFont val="Times New Roman"/>
        <charset val="134"/>
      </rPr>
      <t>)(PET</t>
    </r>
    <r>
      <rPr>
        <sz val="10"/>
        <rFont val="SimSun"/>
        <charset val="134"/>
      </rPr>
      <t>瓶</t>
    </r>
    <r>
      <rPr>
        <sz val="10"/>
        <rFont val="Times New Roman"/>
        <charset val="134"/>
      </rPr>
      <t>)</t>
    </r>
  </si>
  <si>
    <r>
      <rPr>
        <sz val="10"/>
        <rFont val="SimSun"/>
        <charset val="134"/>
      </rPr>
      <t>海天牌陈醋</t>
    </r>
    <r>
      <rPr>
        <sz val="10"/>
        <rFont val="Times New Roman"/>
        <charset val="134"/>
      </rPr>
      <t>1.9L*6</t>
    </r>
  </si>
  <si>
    <t>11.90</t>
  </si>
  <si>
    <t>2190.00</t>
  </si>
  <si>
    <r>
      <rPr>
        <sz val="10"/>
        <rFont val="宋体"/>
        <charset val="134"/>
      </rPr>
      <t>精制料酒</t>
    </r>
  </si>
  <si>
    <t>89701110905</t>
  </si>
  <si>
    <t>HADAY SELECTED SEASONING WINE 1.9L*6</t>
  </si>
  <si>
    <t>HADAY GIA VỊ RƯỢU NẤU ĂN 1.9L*6</t>
  </si>
  <si>
    <t>出口海天牌精制料酒1.9L*6(越南公司用；1200工厂)(PET瓶)</t>
  </si>
  <si>
    <r>
      <rPr>
        <sz val="10"/>
        <rFont val="宋体"/>
        <charset val="134"/>
      </rPr>
      <t>海天牌精制料酒</t>
    </r>
    <r>
      <rPr>
        <sz val="10"/>
        <rFont val="Times New Roman"/>
        <charset val="134"/>
      </rPr>
      <t>1.9L*6</t>
    </r>
  </si>
  <si>
    <t>89701180005</t>
  </si>
  <si>
    <t>HADAY SELECTED SEASONING WINE 800ML*12</t>
  </si>
  <si>
    <t>HADAY GIA VỊ RƯỢU NẤU ĂN 800ML*12</t>
  </si>
  <si>
    <t>出口海天牌精制料酒800ML*12(越南公司用；1200工厂)(PET瓶)</t>
  </si>
  <si>
    <r>
      <rPr>
        <sz val="10"/>
        <rFont val="宋体"/>
        <charset val="134"/>
      </rPr>
      <t>海天牌精制料酒</t>
    </r>
    <r>
      <rPr>
        <sz val="10"/>
        <rFont val="Times New Roman"/>
        <charset val="134"/>
      </rPr>
      <t>800ML*12</t>
    </r>
  </si>
  <si>
    <t>2640.00</t>
  </si>
  <si>
    <r>
      <rPr>
        <sz val="10"/>
        <rFont val="宋体"/>
        <charset val="134"/>
      </rPr>
      <t>海天古道零添加料酒</t>
    </r>
  </si>
  <si>
    <t>89700945001</t>
  </si>
  <si>
    <t>HADAY BREWING SEASONING WINE 450mL*12</t>
  </si>
  <si>
    <t>HADAY GIA VỊ LÊN MEN RƯỢU NẤU ĂN 450ML*12</t>
  </si>
  <si>
    <t>出口海天牌经典海天古道料酒450ML*12(越南公司用；1200工厂)(玻璃瓶)</t>
  </si>
  <si>
    <r>
      <rPr>
        <sz val="10"/>
        <rFont val="SimSun"/>
        <charset val="134"/>
      </rPr>
      <t>海天牌海天古道零添加料酒</t>
    </r>
    <r>
      <rPr>
        <sz val="10"/>
        <rFont val="Times New Roman"/>
        <charset val="134"/>
      </rPr>
      <t>450ML*12</t>
    </r>
  </si>
  <si>
    <t>8.90</t>
  </si>
  <si>
    <t>3110.00</t>
  </si>
  <si>
    <t>89700912801</t>
  </si>
  <si>
    <t>HADAY BREWING SEASONING WINE 1.28L*6</t>
  </si>
  <si>
    <t>HADAY GIA VỊ LÊN MEN RƯỢU NẤU ĂN 1.28L*6</t>
  </si>
  <si>
    <t>出口海天牌经典海天古道料酒1.28L*6(越南公司用；1200工厂)(PET瓶)</t>
  </si>
  <si>
    <r>
      <rPr>
        <sz val="10"/>
        <rFont val="SimSun"/>
        <charset val="134"/>
      </rPr>
      <t>海天牌海天古道零添加料酒</t>
    </r>
    <r>
      <rPr>
        <sz val="10"/>
        <rFont val="Times New Roman"/>
        <charset val="134"/>
      </rPr>
      <t>1.28L*6</t>
    </r>
  </si>
  <si>
    <t>1.28L*6</t>
  </si>
  <si>
    <r>
      <rPr>
        <sz val="10"/>
        <rFont val="宋体"/>
        <charset val="134"/>
      </rPr>
      <t>合计</t>
    </r>
    <r>
      <rPr>
        <sz val="10"/>
        <rFont val="Times New Roman"/>
        <charset val="134"/>
      </rPr>
      <t xml:space="preserve"> TOTAL</t>
    </r>
  </si>
  <si>
    <r>
      <rPr>
        <sz val="10"/>
        <color theme="1"/>
        <rFont val="宋体"/>
        <charset val="134"/>
      </rPr>
      <t>根据</t>
    </r>
    <r>
      <rPr>
        <sz val="10"/>
        <color theme="1"/>
        <rFont val="Times New Roman"/>
        <charset val="134"/>
      </rPr>
      <t>c</t>
    </r>
    <r>
      <rPr>
        <sz val="10"/>
        <color theme="1"/>
        <rFont val="宋体"/>
        <charset val="134"/>
      </rPr>
      <t>列是序号，筛选出对应物料的编码、总数量、品名、赠品数。</t>
    </r>
  </si>
  <si>
    <r>
      <rPr>
        <sz val="10"/>
        <color theme="1"/>
        <rFont val="宋体"/>
        <charset val="134"/>
      </rPr>
      <t>总数量</t>
    </r>
  </si>
  <si>
    <t>中文品名</t>
  </si>
  <si>
    <r>
      <rPr>
        <sz val="10"/>
        <color theme="1"/>
        <rFont val="宋体"/>
        <charset val="134"/>
      </rPr>
      <t>赠品数量</t>
    </r>
  </si>
  <si>
    <r>
      <rPr>
        <b/>
        <sz val="10"/>
        <color rgb="FFFF0000"/>
        <rFont val="SimSun"/>
        <charset val="134"/>
      </rPr>
      <t>如需显示更多数据，请增加序号</t>
    </r>
    <r>
      <rPr>
        <b/>
        <sz val="10"/>
        <color rgb="FFFF0000"/>
        <rFont val="Arial Narrow"/>
        <charset val="134"/>
      </rPr>
      <t>/</t>
    </r>
    <r>
      <rPr>
        <b/>
        <sz val="10"/>
        <color rgb="FFFF0000"/>
        <rFont val="SimSun"/>
        <charset val="134"/>
      </rPr>
      <t>下拉数据</t>
    </r>
  </si>
  <si>
    <t xml:space="preserve">client_id	</t>
  </si>
  <si>
    <t xml:space="preserve">client_name_ch	</t>
  </si>
  <si>
    <t xml:space="preserve">id	</t>
  </si>
  <si>
    <t xml:space="preserve">kh_id	</t>
  </si>
  <si>
    <t xml:space="preserve">continent	</t>
  </si>
  <si>
    <t xml:space="preserve">country	</t>
  </si>
  <si>
    <t xml:space="preserve">province	</t>
  </si>
  <si>
    <t xml:space="preserve">city	</t>
  </si>
  <si>
    <t xml:space="preserve">destination	</t>
  </si>
  <si>
    <t xml:space="preserve">company	</t>
  </si>
  <si>
    <t xml:space="preserve">address	</t>
  </si>
  <si>
    <t xml:space="preserve">phone	</t>
  </si>
  <si>
    <t xml:space="preserve">email	</t>
  </si>
  <si>
    <t xml:space="preserve">notice	</t>
  </si>
  <si>
    <t xml:space="preserve">default_address	</t>
  </si>
  <si>
    <t xml:space="preserve">create_by	</t>
  </si>
  <si>
    <t xml:space="preserve">create_time	</t>
  </si>
  <si>
    <t xml:space="preserve">update_by	</t>
  </si>
  <si>
    <t xml:space="preserve">update_time	</t>
  </si>
  <si>
    <t xml:space="preserve">check_company	</t>
  </si>
  <si>
    <t xml:space="preserve">check_company_address	</t>
  </si>
  <si>
    <t xml:space="preserve">delivery_address_type	</t>
  </si>
  <si>
    <t xml:space="preserve">destination_final	</t>
  </si>
  <si>
    <t xml:space="preserve">trade_terms	</t>
  </si>
  <si>
    <t>deliver_warehouse</t>
  </si>
  <si>
    <t>RDC仓</t>
  </si>
  <si>
    <t xml:space="preserve">越南VP进出口贸易有限公司	</t>
  </si>
  <si>
    <t xml:space="preserve">27	</t>
  </si>
  <si>
    <t xml:space="preserve">337	</t>
  </si>
  <si>
    <t xml:space="preserve">	</t>
  </si>
  <si>
    <t xml:space="preserve">Thanh Pho Ho Chi Minh	</t>
  </si>
  <si>
    <t xml:space="preserve">CAT LAI PORT,HO CHI MINH-越南	</t>
  </si>
  <si>
    <t xml:space="preserve">252/18P Phan Anh, Phường Phú Thạnh, Thành phố Hồ Chí Minh	</t>
  </si>
  <si>
    <t xml:space="preserve">0903003877	</t>
  </si>
  <si>
    <t xml:space="preserve">Anh Bân	</t>
  </si>
  <si>
    <t xml:space="preserve">1	</t>
  </si>
  <si>
    <t xml:space="preserve">admin	</t>
  </si>
  <si>
    <t xml:space="preserve">2025-07-22 11:00:00	</t>
  </si>
  <si>
    <t xml:space="preserve">zhangh31	</t>
  </si>
  <si>
    <t xml:space="preserve">2026-05-13 13:41:04	</t>
  </si>
  <si>
    <t xml:space="preserve">4	</t>
  </si>
  <si>
    <t xml:space="preserve">CIF	</t>
  </si>
  <si>
    <t>南部</t>
  </si>
  <si>
    <t xml:space="preserve">越南谅山龙霞一成员有限公司	</t>
  </si>
  <si>
    <t xml:space="preserve">31	</t>
  </si>
  <si>
    <t xml:space="preserve">343	</t>
  </si>
  <si>
    <t xml:space="preserve">Viet Nam	</t>
  </si>
  <si>
    <t xml:space="preserve">Yen Vien	</t>
  </si>
  <si>
    <t xml:space="preserve">YEN VIEN-越南	</t>
  </si>
  <si>
    <t xml:space="preserve">tổ 16 phường nùng chí cao tp cao bằng	</t>
  </si>
  <si>
    <t xml:space="preserve">0941960009	</t>
  </si>
  <si>
    <t xml:space="preserve">Ninh Văn Bình（高平）	</t>
  </si>
  <si>
    <t xml:space="preserve">0	</t>
  </si>
  <si>
    <t xml:space="preserve">2026-03-23 10:47:47	</t>
  </si>
  <si>
    <t>北部</t>
  </si>
  <si>
    <t xml:space="preserve">32	</t>
  </si>
  <si>
    <t xml:space="preserve">phố cò . Sông công . Thái nguyên	</t>
  </si>
  <si>
    <t xml:space="preserve">0373133660	</t>
  </si>
  <si>
    <t xml:space="preserve">/（太原）	</t>
  </si>
  <si>
    <t xml:space="preserve">越南通达发一成员贸易服务有限公司	</t>
  </si>
  <si>
    <t xml:space="preserve">166	</t>
  </si>
  <si>
    <t xml:space="preserve">1712389292203786242	</t>
  </si>
  <si>
    <t xml:space="preserve">Cụm công nghiệp bảy mẫu Phường Tân Đông Hiệp, Thành phố Hồ Chí Minh	</t>
  </si>
  <si>
    <t xml:space="preserve">0379774123	</t>
  </si>
  <si>
    <t xml:space="preserve">Chị Kim	</t>
  </si>
  <si>
    <t xml:space="preserve">2026-05-13 13:45:15	</t>
  </si>
  <si>
    <t xml:space="preserve">越南黄天发贸易有限公司	</t>
  </si>
  <si>
    <t xml:space="preserve">172	</t>
  </si>
  <si>
    <t xml:space="preserve">1722956703705415681	</t>
  </si>
  <si>
    <t xml:space="preserve">97/12 kinh dương vương p12 q6	</t>
  </si>
  <si>
    <t xml:space="preserve">090 9853318	</t>
  </si>
  <si>
    <t xml:space="preserve">duy	</t>
  </si>
  <si>
    <t xml:space="preserve">2026-05-13 13:43:34	</t>
  </si>
  <si>
    <t xml:space="preserve">越南食品进出口服务贸易有限公司	</t>
  </si>
  <si>
    <t xml:space="preserve">213	</t>
  </si>
  <si>
    <t xml:space="preserve">1802266337481670657	</t>
  </si>
  <si>
    <t xml:space="preserve">Chi Ma	</t>
  </si>
  <si>
    <t xml:space="preserve">1138 nguyễn khoái, Phường Hoàng Mai, Thành phố Hà Nội Việt Nam	</t>
  </si>
  <si>
    <t xml:space="preserve">0984968999	</t>
  </si>
  <si>
    <t xml:space="preserve">Anh Thành Tuấn Phương	</t>
  </si>
  <si>
    <t xml:space="preserve">2026-04-03 16:18:20	</t>
  </si>
  <si>
    <t xml:space="preserve">越南智越发贸易服务及生产有限公司（工业）	</t>
  </si>
  <si>
    <t xml:space="preserve">221	</t>
  </si>
  <si>
    <t xml:space="preserve">1814694555153154049	</t>
  </si>
  <si>
    <t xml:space="preserve">178 Đường Long Thuận, Phường Long Phước, Thành phố Hồ Chí Minh	</t>
  </si>
  <si>
    <t xml:space="preserve">0977905020	</t>
  </si>
  <si>
    <t xml:space="preserve">Mr. Tân	</t>
  </si>
  <si>
    <t xml:space="preserve">2026-04-03 16:20:43	</t>
  </si>
  <si>
    <t xml:space="preserve">越南全德贸易投资有限公司	</t>
  </si>
  <si>
    <t xml:space="preserve">223	</t>
  </si>
  <si>
    <t xml:space="preserve">1815036820530741250	</t>
  </si>
  <si>
    <t xml:space="preserve">Friendship Pass	</t>
  </si>
  <si>
    <t xml:space="preserve">D06-NV4 ô 033, khu D, KĐT Gleximco - Lê Trọng Tấn, Xã An Khánh, Thành phố Hà Nội Việt Nam	</t>
  </si>
  <si>
    <t xml:space="preserve">0967260022	</t>
  </si>
  <si>
    <t xml:space="preserve">ĐỖ VĂN LƯƠNG	</t>
  </si>
  <si>
    <t xml:space="preserve">2026-04-03 16:22:26	</t>
  </si>
  <si>
    <t xml:space="preserve">越南食品进出口服务贸易有限公司（工业）	</t>
  </si>
  <si>
    <t xml:space="preserve">233	</t>
  </si>
  <si>
    <t xml:space="preserve">1827906661763596289	</t>
  </si>
  <si>
    <t xml:space="preserve">Khu khả lễ, Phường Võ Cường, Tỉnh Bắc Ninh Việt Nam	</t>
  </si>
  <si>
    <t xml:space="preserve">2026-04-03 16:23:36	</t>
  </si>
  <si>
    <t xml:space="preserve">越南诺萨食品股份公司（工业）	</t>
  </si>
  <si>
    <t xml:space="preserve">234	</t>
  </si>
  <si>
    <t xml:space="preserve">1829111819826708481	</t>
  </si>
  <si>
    <t xml:space="preserve">Lô D3/1-4 đường VL7, KCN Vĩnh Lộc 2, Xã Mỹ Yên, Tỉnh Tây Ninh	</t>
  </si>
  <si>
    <t xml:space="preserve">2026-04-03 16:34:48	</t>
  </si>
  <si>
    <t xml:space="preserve">越南芳云进出口有限公司	</t>
  </si>
  <si>
    <t xml:space="preserve">235	</t>
  </si>
  <si>
    <t xml:space="preserve">1827911185878302721	</t>
  </si>
  <si>
    <t xml:space="preserve">168 Quang Trung, Phường Bảy Hiền, Thành phố Hồ Chí Minh	</t>
  </si>
  <si>
    <t xml:space="preserve">0905586622	</t>
  </si>
  <si>
    <t xml:space="preserve">Bùi Thị Thu Hằng	</t>
  </si>
  <si>
    <t xml:space="preserve">2026-05-13 13:44:19	</t>
  </si>
  <si>
    <t xml:space="preserve">越南诺萨食品股份公司（OEM）	</t>
  </si>
  <si>
    <t xml:space="preserve">237	</t>
  </si>
  <si>
    <t xml:space="preserve">1831555971633987585	</t>
  </si>
  <si>
    <t xml:space="preserve">2026-04-03 16:25:15	</t>
  </si>
  <si>
    <t xml:space="preserve">越南安库生产贸易和服务有限公司（工业）	</t>
  </si>
  <si>
    <t xml:space="preserve">247	</t>
  </si>
  <si>
    <t xml:space="preserve">1848643578368966657	</t>
  </si>
  <si>
    <t xml:space="preserve">HAIPHONG-越南	</t>
  </si>
  <si>
    <t xml:space="preserve">Số 374A đường Hùng Vương, Phường Hồng Bàng, Thành phố Hải Phòng	</t>
  </si>
  <si>
    <t xml:space="preserve">0869813026	</t>
  </si>
  <si>
    <t xml:space="preserve">2026-04-03 16:35:46	</t>
  </si>
  <si>
    <t xml:space="preserve">越南惠嘉进出口有限公司	</t>
  </si>
  <si>
    <t xml:space="preserve">267	</t>
  </si>
  <si>
    <t xml:space="preserve">1869970867165675521	</t>
  </si>
  <si>
    <t xml:space="preserve">Khu 7 xã Hy Cương -Tỉnh Phú Thọ	</t>
  </si>
  <si>
    <t xml:space="preserve">0972017465	</t>
  </si>
  <si>
    <t xml:space="preserve">Hoàng Anh（富寿）	</t>
  </si>
  <si>
    <t xml:space="preserve">2026-04-03 16:47:56	</t>
  </si>
  <si>
    <t xml:space="preserve">越南荷青综合贸易有限公司	</t>
  </si>
  <si>
    <t xml:space="preserve">285	</t>
  </si>
  <si>
    <t xml:space="preserve">1891749549555138562	</t>
  </si>
  <si>
    <t xml:space="preserve">Số 164, đường Hoàng Văn Thụ, khu Lò Rèn, Xã Đồng Đăng, Lạng Sơn	</t>
  </si>
  <si>
    <t xml:space="preserve">0352139888	</t>
  </si>
  <si>
    <t xml:space="preserve">2026-04-03 16:42:00	</t>
  </si>
  <si>
    <t xml:space="preserve">越南KEKI股份有限公司（工业）	</t>
  </si>
  <si>
    <t xml:space="preserve">298	</t>
  </si>
  <si>
    <t xml:space="preserve">1899120340106035201	</t>
  </si>
  <si>
    <t xml:space="preserve">Thửa đất số 1488, tờ bản đồ số 09, Xã Thanh Miện, Thành phố Hải Phòng	</t>
  </si>
  <si>
    <t xml:space="preserve">2026-04-03 16:37:54	</t>
  </si>
  <si>
    <t xml:space="preserve">越南海阳安军一成员责任有限公司	</t>
  </si>
  <si>
    <t xml:space="preserve">326	</t>
  </si>
  <si>
    <t xml:space="preserve">1914275489241710593	</t>
  </si>
  <si>
    <t xml:space="preserve">Số nhà 13/75 Bùi Thị Xuân, Phường Lê Thanh Nghị, TP Hải Phòng Việt Nam	</t>
  </si>
  <si>
    <t xml:space="preserve">2026-04-02 08:13:30	</t>
  </si>
  <si>
    <t xml:space="preserve">越南流行水族有限公司	</t>
  </si>
  <si>
    <t xml:space="preserve">360	</t>
  </si>
  <si>
    <t xml:space="preserve">1937147493145722882	</t>
  </si>
  <si>
    <t xml:space="preserve">Số nhà 17, tổ dân phố số 3, phường Mỹ Độ, thành phố Bắc Giang, tỉnh Bắc Giang	</t>
  </si>
  <si>
    <t xml:space="preserve">0326296668	</t>
  </si>
  <si>
    <t xml:space="preserve">CÔNG TY TNHH POP AQUA	</t>
  </si>
  <si>
    <t xml:space="preserve">dongqq	</t>
  </si>
  <si>
    <t xml:space="preserve">2026-05-19 18:14:55	</t>
  </si>
  <si>
    <t xml:space="preserve">越南亚洲化学股份有限公司（工业）	</t>
  </si>
  <si>
    <t xml:space="preserve">365	</t>
  </si>
  <si>
    <t xml:space="preserve">1937178454658990081	</t>
  </si>
  <si>
    <t xml:space="preserve">Lô K4B khu công nghiệp Lê Minh Xuân, Đường Số 4, Xã Bình Lợi, Thành phố Hồ Chí Minh	</t>
  </si>
  <si>
    <t xml:space="preserve">0938939817	</t>
  </si>
  <si>
    <t xml:space="preserve">Anh Nhân - Thủ kho	</t>
  </si>
  <si>
    <t xml:space="preserve">2026-04-03 16:39:50	</t>
  </si>
  <si>
    <t xml:space="preserve">越南美越食品供应有限公司	</t>
  </si>
  <si>
    <t xml:space="preserve">629	</t>
  </si>
  <si>
    <t xml:space="preserve">1947215916886212610	</t>
  </si>
  <si>
    <t xml:space="preserve">No. 168, Ha Huy Tap Street, Tan Hung Ward, Ho Chi Minh City, Vietnam.	</t>
  </si>
  <si>
    <t xml:space="preserve">+84 0931452183	</t>
  </si>
  <si>
    <t xml:space="preserve">THOMAS LUO	</t>
  </si>
  <si>
    <t xml:space="preserve">luoqf	</t>
  </si>
  <si>
    <t xml:space="preserve">2025-07-21 17:00:57	</t>
  </si>
  <si>
    <t xml:space="preserve">2026-05-13 13:40:41	</t>
  </si>
  <si>
    <t xml:space="preserve">越南山水发商贸服务股份公司	</t>
  </si>
  <si>
    <t xml:space="preserve">676	</t>
  </si>
  <si>
    <t xml:space="preserve">1958192450996355074	</t>
  </si>
  <si>
    <r>
      <rPr>
        <sz val="11"/>
        <color rgb="FF000000"/>
        <rFont val="宋体"/>
        <charset val="134"/>
      </rPr>
      <t>Ngách 87 ngõ 56 ph</t>
    </r>
    <r>
      <rPr>
        <sz val="11"/>
        <color rgb="FF000000"/>
        <rFont val="Times New Roman"/>
        <charset val="134"/>
      </rPr>
      <t>ố</t>
    </r>
    <r>
      <rPr>
        <sz val="11"/>
        <color rgb="FF000000"/>
        <rFont val="宋体"/>
        <charset val="134"/>
      </rPr>
      <t xml:space="preserve"> th</t>
    </r>
    <r>
      <rPr>
        <sz val="11"/>
        <color rgb="FF000000"/>
        <rFont val="Times New Roman"/>
        <charset val="134"/>
      </rPr>
      <t>ạ</t>
    </r>
    <r>
      <rPr>
        <sz val="11"/>
        <color rgb="FF000000"/>
        <rFont val="宋体"/>
        <charset val="134"/>
      </rPr>
      <t>ch c</t>
    </r>
    <r>
      <rPr>
        <sz val="11"/>
        <color rgb="FF000000"/>
        <rFont val="Times New Roman"/>
        <charset val="134"/>
      </rPr>
      <t>ầ</t>
    </r>
    <r>
      <rPr>
        <sz val="11"/>
        <color rgb="FF000000"/>
        <rFont val="宋体"/>
        <charset val="134"/>
      </rPr>
      <t>u ph</t>
    </r>
    <r>
      <rPr>
        <sz val="11"/>
        <color rgb="FF000000"/>
        <rFont val="Times New Roman"/>
        <charset val="134"/>
      </rPr>
      <t>ườ</t>
    </r>
    <r>
      <rPr>
        <sz val="11"/>
        <color rgb="FF000000"/>
        <rFont val="宋体"/>
        <charset val="134"/>
      </rPr>
      <t>ng Long biên hà n</t>
    </r>
    <r>
      <rPr>
        <sz val="11"/>
        <color rgb="FF000000"/>
        <rFont val="Times New Roman"/>
        <charset val="134"/>
      </rPr>
      <t>ộ</t>
    </r>
    <r>
      <rPr>
        <sz val="11"/>
        <color rgb="FF000000"/>
        <rFont val="宋体"/>
        <charset val="134"/>
      </rPr>
      <t>i.</t>
    </r>
    <r>
      <rPr>
        <sz val="11"/>
        <color rgb="FF000000"/>
        <rFont val="Arial"/>
        <charset val="134"/>
      </rPr>
      <t xml:space="preserve">	</t>
    </r>
  </si>
  <si>
    <t xml:space="preserve">0912961292		</t>
  </si>
  <si>
    <t xml:space="preserve">chị Thuý	</t>
  </si>
  <si>
    <t xml:space="preserve">2025-08-20 23:56:26	</t>
  </si>
  <si>
    <t xml:space="preserve">2026-04-03 16:47:14	</t>
  </si>
  <si>
    <t xml:space="preserve">3	</t>
  </si>
  <si>
    <t xml:space="preserve">越南​​秋香贸易经营有限责任公司​	</t>
  </si>
  <si>
    <t xml:space="preserve">677	</t>
  </si>
  <si>
    <t xml:space="preserve">1958371479359668225	</t>
  </si>
  <si>
    <t xml:space="preserve">116 phan đình phùng, phường trần hưng đạo, Nam Định	</t>
  </si>
  <si>
    <t xml:space="preserve">+84 91 3344477	</t>
  </si>
  <si>
    <t xml:space="preserve">chị Hương	</t>
  </si>
  <si>
    <t xml:space="preserve">2025-08-21 11:48:46	</t>
  </si>
  <si>
    <t xml:space="preserve">2026-05-28 15:11:10	</t>
  </si>
  <si>
    <t xml:space="preserve">越南味丹股份有限公司(OEM)	</t>
  </si>
  <si>
    <t xml:space="preserve">746	</t>
  </si>
  <si>
    <t xml:space="preserve">1982694991293399041	</t>
  </si>
  <si>
    <t xml:space="preserve">26C Quốc lộ 91B, KV Bình Chánh, Phường Long Tuyền, Thành phố Cần Thơ	</t>
  </si>
  <si>
    <t xml:space="preserve">0789833800	</t>
  </si>
  <si>
    <t xml:space="preserve">MR NAM	</t>
  </si>
  <si>
    <t xml:space="preserve">2025-10-27 15:54:12	</t>
  </si>
  <si>
    <t xml:space="preserve">2026-03-25 14:30:56	</t>
  </si>
  <si>
    <t xml:space="preserve">越南宝芳林有限责任公司	</t>
  </si>
  <si>
    <t xml:space="preserve">785	</t>
  </si>
  <si>
    <t xml:space="preserve">1997607182266089473	</t>
  </si>
  <si>
    <t xml:space="preserve">Số 6 ngõ 56 đường Kim Quan Thượng, Việt Hưng, Long Biên, Hà Nội	</t>
  </si>
  <si>
    <t xml:space="preserve">0903231681/0966295689	</t>
  </si>
  <si>
    <t xml:space="preserve">Huynh/Tú Anh（龙边）	</t>
  </si>
  <si>
    <t xml:space="preserve">2025-12-07 18:11:55	</t>
  </si>
  <si>
    <t xml:space="preserve">2026-04-03 16:48:43	</t>
  </si>
  <si>
    <t xml:space="preserve">越南泰东兴有限公司	</t>
  </si>
  <si>
    <t xml:space="preserve">786	</t>
  </si>
  <si>
    <t xml:space="preserve">1997665787883372546	</t>
  </si>
  <si>
    <t xml:space="preserve">Da Nang	</t>
  </si>
  <si>
    <t xml:space="preserve">DA NANG-越南	</t>
  </si>
  <si>
    <t xml:space="preserve">172-178 Bùi Tấn Diên, phường Hòa Khánh, thành phố Đà Nẵng, Việt Nam	</t>
  </si>
  <si>
    <t xml:space="preserve">0932159830	</t>
  </si>
  <si>
    <t xml:space="preserve">Dinh Ngoc Dinh	</t>
  </si>
  <si>
    <t xml:space="preserve">2025-12-07 22:39:12	</t>
  </si>
  <si>
    <t xml:space="preserve">2026-04-03 16:43:52	</t>
  </si>
  <si>
    <t xml:space="preserve">越南国宴云厨房有限公司（工业）	</t>
  </si>
  <si>
    <t xml:space="preserve">787	</t>
  </si>
  <si>
    <t xml:space="preserve">1997716887458103297	</t>
  </si>
  <si>
    <t xml:space="preserve">3SB1-12 Duong so 20, Khu pho My Vien, Khu do thi Phu My Hung, Phuong Tan My, Thanh pho Ho Chi Minh, Vietnam	</t>
  </si>
  <si>
    <t xml:space="preserve"> 0888058989	</t>
  </si>
  <si>
    <t xml:space="preserve">LY TRUONG HUY	</t>
  </si>
  <si>
    <t xml:space="preserve">2025-12-08 11:10:17	</t>
  </si>
  <si>
    <t xml:space="preserve">luohj4	</t>
  </si>
  <si>
    <t xml:space="preserve">2025-12-22 09:00:28	</t>
  </si>
  <si>
    <t xml:space="preserve">越南陈日儿有限公司	</t>
  </si>
  <si>
    <t xml:space="preserve">850	</t>
  </si>
  <si>
    <t xml:space="preserve">2011693875696844802	</t>
  </si>
  <si>
    <t xml:space="preserve">Rosa Vạn Đạt  Lô2/1 KCN Tân Bình   đường Cn1  phường Tây Thạnh quận Tân Phú	</t>
  </si>
  <si>
    <t xml:space="preserve">0708518166							</t>
  </si>
  <si>
    <t xml:space="preserve">Ánh Tuyết												</t>
  </si>
  <si>
    <t xml:space="preserve">zhujj3	</t>
  </si>
  <si>
    <t xml:space="preserve">2026-01-15 14:56:10	</t>
  </si>
  <si>
    <t xml:space="preserve">2026-05-13 13:44:40	</t>
  </si>
  <si>
    <t xml:space="preserve">越南-安平发添加剂公司（食品工业）	</t>
  </si>
  <si>
    <t xml:space="preserve">940	</t>
  </si>
  <si>
    <t xml:space="preserve">2037451724620120066	</t>
  </si>
  <si>
    <t xml:space="preserve">Haiphong	</t>
  </si>
  <si>
    <t xml:space="preserve">Số 72 đường Hồng Tiến, Bồ đề, Long Biên, Hà Nội	</t>
  </si>
  <si>
    <t xml:space="preserve">0972237290	</t>
  </si>
  <si>
    <t xml:space="preserve">HONG	</t>
  </si>
  <si>
    <t xml:space="preserve">pengy6	</t>
  </si>
  <si>
    <t xml:space="preserve">2026-03-17 11:04:10	</t>
  </si>
  <si>
    <t xml:space="preserve">2026-04-28 16:53:04	</t>
  </si>
  <si>
    <t xml:space="preserve">950	</t>
  </si>
  <si>
    <t xml:space="preserve">387 Phan Văn Trị,Phường Bình Lợi Trung, Thành phố Hồ Chí Minh	</t>
  </si>
  <si>
    <t xml:space="preserve">0937778293	</t>
  </si>
  <si>
    <t xml:space="preserve">Hoàng	</t>
  </si>
  <si>
    <t xml:space="preserve">2026-03-20 21:16:33	</t>
  </si>
  <si>
    <t xml:space="preserve">2026-05-13 13:43:38	</t>
  </si>
  <si>
    <t xml:space="preserve">951	</t>
  </si>
  <si>
    <t xml:space="preserve">0942854827	</t>
  </si>
  <si>
    <t xml:space="preserve">Anh Long（谅山）	</t>
  </si>
  <si>
    <t xml:space="preserve">2026-03-20 21:24:22	</t>
  </si>
  <si>
    <t xml:space="preserve">952	</t>
  </si>
  <si>
    <t xml:space="preserve">	
Số 9 đường trần đăng tuyển phường vũ ninh tỉnh bắc ninh	</t>
  </si>
  <si>
    <t xml:space="preserve">0985195083	</t>
  </si>
  <si>
    <t xml:space="preserve">Người Nhận（北宁）	</t>
  </si>
  <si>
    <t xml:space="preserve">2026-03-20 21:26:03	</t>
  </si>
  <si>
    <t xml:space="preserve">953	</t>
  </si>
  <si>
    <t xml:space="preserve">178 Lê Hồng Phong , Cốc Lếu, Lào Cai	</t>
  </si>
  <si>
    <t xml:space="preserve">0378003378- 0398101085	</t>
  </si>
  <si>
    <t xml:space="preserve">Sdt thủ kho（芒街）	</t>
  </si>
  <si>
    <t xml:space="preserve">2026-03-20 21:29:51	</t>
  </si>
  <si>
    <t xml:space="preserve">2026-03-30 09:13:38	</t>
  </si>
  <si>
    <t xml:space="preserve">954	</t>
  </si>
  <si>
    <t xml:space="preserve">Cầu gỗ quảng thành tỉnh quảng ninh	</t>
  </si>
  <si>
    <t xml:space="preserve">0762487280	</t>
  </si>
  <si>
    <t xml:space="preserve">Phạm chí tuấn（广宁）	</t>
  </si>
  <si>
    <t xml:space="preserve">2026-03-20 21:30:26	</t>
  </si>
  <si>
    <t xml:space="preserve">越南味丹股份有限公司	</t>
  </si>
  <si>
    <t xml:space="preserve">965	</t>
  </si>
  <si>
    <t xml:space="preserve">340	</t>
  </si>
  <si>
    <t xml:space="preserve">QL 51, ấp 2, xã Phước Thái, Xã Phước Thái, Đồng Nai	</t>
  </si>
  <si>
    <t xml:space="preserve">0963122795	</t>
  </si>
  <si>
    <t xml:space="preserve">Chị Huyền	</t>
  </si>
  <si>
    <t xml:space="preserve">2026-03-25 14:17:23	</t>
  </si>
  <si>
    <t xml:space="preserve">2026-05-09 12:06:23	</t>
  </si>
  <si>
    <t xml:space="preserve">966	</t>
  </si>
  <si>
    <t xml:space="preserve">0917846481	</t>
  </si>
  <si>
    <t xml:space="preserve">Chị Phương	</t>
  </si>
  <si>
    <t xml:space="preserve">2026-03-25 14:18:12	</t>
  </si>
  <si>
    <t xml:space="preserve">2026-05-09 13:19:14	</t>
  </si>
  <si>
    <t xml:space="preserve">967	</t>
  </si>
  <si>
    <t xml:space="preserve">Lô D1, Đường D2, Khu công nghiệp Cát Lái - cụm 2, giai đoạn II, phường Cát Lái, TPHCM, Việt Nam	</t>
  </si>
  <si>
    <t xml:space="preserve">Phương	</t>
  </si>
  <si>
    <t xml:space="preserve">2026-03-25 14:18:51	</t>
  </si>
  <si>
    <t xml:space="preserve">2026-05-09 13:19:18	</t>
  </si>
  <si>
    <t xml:space="preserve">968	</t>
  </si>
  <si>
    <t xml:space="preserve">khu Công nghiệp Quang Minh 2,thôn Phù Trì,Xã Quang Minh,Thành phố Hà Nội.	</t>
  </si>
  <si>
    <t xml:space="preserve">0975699585	</t>
  </si>
  <si>
    <t xml:space="preserve">Ms Hường	</t>
  </si>
  <si>
    <t xml:space="preserve">2026-03-25 14:19:19	</t>
  </si>
  <si>
    <t xml:space="preserve">2026-05-13 13:42:45	</t>
  </si>
  <si>
    <t xml:space="preserve">969	</t>
  </si>
  <si>
    <t xml:space="preserve">QL 130 Phạm Đình Hổ, Phường Hòa Khánh, Thành phố Đà Nẵng	</t>
  </si>
  <si>
    <t xml:space="preserve">0982156159	</t>
  </si>
  <si>
    <t xml:space="preserve">Anh Dinh	</t>
  </si>
  <si>
    <t xml:space="preserve">2026-03-25 14:19:49	</t>
  </si>
  <si>
    <t xml:space="preserve">2026-05-13 13:42:48	</t>
  </si>
  <si>
    <t xml:space="preserve">970	</t>
  </si>
  <si>
    <t xml:space="preserve">Chị Phương		</t>
  </si>
  <si>
    <t xml:space="preserve">2026-03-25 14:30:36	</t>
  </si>
  <si>
    <t xml:space="preserve">975	</t>
  </si>
  <si>
    <t xml:space="preserve">Ngã 5 ninh dương , cảng quang phát 1 , phường mc 2	</t>
  </si>
  <si>
    <t xml:space="preserve">0932603888	</t>
  </si>
  <si>
    <t xml:space="preserve">/（老街）	</t>
  </si>
  <si>
    <t xml:space="preserve">2026-03-30 09:14:25	</t>
  </si>
  <si>
    <t xml:space="preserve">981	</t>
  </si>
  <si>
    <t xml:space="preserve">KM52 đường An Định (QL5A),Việt Hòa, Hải Dương	</t>
  </si>
  <si>
    <t xml:space="preserve">0903160889	</t>
  </si>
  <si>
    <t xml:space="preserve">2026-04-02 08:13:24	</t>
  </si>
  <si>
    <t xml:space="preserve">越南邻客贸易有限公司	</t>
  </si>
  <si>
    <t xml:space="preserve">982	</t>
  </si>
  <si>
    <t xml:space="preserve">1869942599901331458	</t>
  </si>
  <si>
    <t xml:space="preserve">Số 49, Đường Truông Bồng Bông, Phường Chánh Hiệp, Thành phố Hồ Chí Minh	</t>
  </si>
  <si>
    <t xml:space="preserve">0899021119	</t>
  </si>
  <si>
    <t xml:space="preserve">2026-04-02 08:30:59	</t>
  </si>
  <si>
    <t xml:space="preserve">2026-05-13 13:45:59	</t>
  </si>
  <si>
    <t xml:space="preserve">985	</t>
  </si>
  <si>
    <t xml:space="preserve">NO13-LK13-04, Khu đất dịch vụ LK8, LK9, LK10, LK15, LK21, LK23, LK24, LK26, C6, TH17 đường Nguyễn Thanh Bình, Phường Hà Đông, TP Hà Nội, Việt Na	</t>
  </si>
  <si>
    <t xml:space="preserve">0765526888	</t>
  </si>
  <si>
    <t xml:space="preserve">TRẦN THỊ NGỌC ANH	</t>
  </si>
  <si>
    <t xml:space="preserve">2026-04-03 16:50:36	</t>
  </si>
  <si>
    <t xml:space="preserve">986	</t>
  </si>
  <si>
    <t xml:space="preserve">Khu thượng mại xã yên mỹ tỉnh hưng yên	</t>
  </si>
  <si>
    <t xml:space="preserve">0977771435	</t>
  </si>
  <si>
    <t xml:space="preserve">Ngọc（兴安）	</t>
  </si>
  <si>
    <t xml:space="preserve">2026-04-03 16:51:16	</t>
  </si>
  <si>
    <t xml:space="preserve">越南平明果蔬有限公司（工业）	</t>
  </si>
  <si>
    <t xml:space="preserve">987	</t>
  </si>
  <si>
    <t xml:space="preserve">1793939999033528320	</t>
  </si>
  <si>
    <t xml:space="preserve">Tờ bản đồ số 15, Thôn Hạ, Xã An Hưng, Huyện An Dương, Thành phố Hải Phòng, Việt Nam	</t>
  </si>
  <si>
    <t xml:space="preserve">0904288089	</t>
  </si>
  <si>
    <t xml:space="preserve">Anh Trung	</t>
  </si>
  <si>
    <t xml:space="preserve">2026-04-03 16:52:52	</t>
  </si>
  <si>
    <t xml:space="preserve">988	</t>
  </si>
  <si>
    <t xml:space="preserve">77 Nguyễn Tất Thành, Phường Vĩnh Phúc, Tỉnh Phú Thọ	</t>
  </si>
  <si>
    <t xml:space="preserve">0365634443	</t>
  </si>
  <si>
    <t xml:space="preserve">2026-04-03 16:54:04	</t>
  </si>
  <si>
    <t xml:space="preserve">989	</t>
  </si>
  <si>
    <t xml:space="preserve">Trung tâm thương mại Đồng Đăng, Số 75, đường Hoàng Văn Thụ, Xã Đồng Đăng, Tỉnh Lạng Sơn	</t>
  </si>
  <si>
    <t xml:space="preserve">0969049348	</t>
  </si>
  <si>
    <t xml:space="preserve">2026-04-03 16:54:53	</t>
  </si>
  <si>
    <t xml:space="preserve">1015	</t>
  </si>
  <si>
    <t xml:space="preserve">Số 344 đường Hà Huy Tập, Xã Phù Đổng, Thành phố Hà Nội, Việt Nam	</t>
  </si>
  <si>
    <t xml:space="preserve">0919 999 893	</t>
  </si>
  <si>
    <t xml:space="preserve">2026-04-23 14:33:32	</t>
  </si>
  <si>
    <t xml:space="preserve">1045	</t>
  </si>
  <si>
    <t xml:space="preserve">Lô E, đường số 7,KCN Hoà Khánh, Phường Liên Chiểu, Thành phố Đà Nẵng, Việt Nam	</t>
  </si>
  <si>
    <t xml:space="preserve">0918136016	</t>
  </si>
  <si>
    <t xml:space="preserve">Mr Tâm	</t>
  </si>
  <si>
    <t xml:space="preserve">2026-05-06 09:42:11	</t>
  </si>
  <si>
    <t xml:space="preserve">2026-05-13 13:42:52	</t>
  </si>
  <si>
    <t xml:space="preserve">越南TIKTIOK海天越南店铺（电商）	</t>
  </si>
  <si>
    <t xml:space="preserve">1055	</t>
  </si>
  <si>
    <t xml:space="preserve">2052947753788325890	</t>
  </si>
  <si>
    <t xml:space="preserve">Lô Đất LK, Đường số 2 và đường số 10, KCN Xuyên á, xã Mỹ Hạnh Bắc, huyện Đức Hòa, tỉnh Long An	</t>
  </si>
  <si>
    <t xml:space="preserve">+840375495453	</t>
  </si>
  <si>
    <t xml:space="preserve">TRIEU THI NGOC ANH赵氏玉英	</t>
  </si>
  <si>
    <t xml:space="preserve">2026-05-09 15:48:31	</t>
  </si>
  <si>
    <t xml:space="preserve">cails	</t>
  </si>
  <si>
    <t xml:space="preserve">2026-05-13 17:23:22	</t>
  </si>
  <si>
    <t xml:space="preserve">越南SHOPEE海天越南店铺（电商）	</t>
  </si>
  <si>
    <t xml:space="preserve">1056	</t>
  </si>
  <si>
    <t xml:space="preserve">2053146902827712514	</t>
  </si>
  <si>
    <t xml:space="preserve">2026-05-10 00:53:36	</t>
  </si>
  <si>
    <t xml:space="preserve">2026-05-15 08:17:56	</t>
  </si>
  <si>
    <t xml:space="preserve">越南LAZADA海天越南店铺（电商）	</t>
  </si>
  <si>
    <t xml:space="preserve">1057	</t>
  </si>
  <si>
    <t xml:space="preserve">2053486211929817089	</t>
  </si>
  <si>
    <t xml:space="preserve">Lô Đất LK, Đường số 2 và đường số 10, KCN Xuyên á, xã Mỹ Hạnh Bắc, huyện Đức Hòa, tỉnh Long An
Liên hệ: 0976467736	</t>
  </si>
  <si>
    <t xml:space="preserve">2026-05-11 01:51:56	</t>
  </si>
  <si>
    <t xml:space="preserve">2026-05-21 16:16:28	</t>
  </si>
  <si>
    <t xml:space="preserve">越南明缘进出口有限公司	</t>
  </si>
  <si>
    <t xml:space="preserve">1060	</t>
  </si>
  <si>
    <t xml:space="preserve">2053701606212939778	</t>
  </si>
  <si>
    <t xml:space="preserve">Kho lưu bằng, kcn bắc duyên hải, tp lào cai tỉnh lào cai	</t>
  </si>
  <si>
    <t xml:space="preserve">0868251224	</t>
  </si>
  <si>
    <t xml:space="preserve">ĐẢO ĐỨC MINH	</t>
  </si>
  <si>
    <t xml:space="preserve">suny12	</t>
  </si>
  <si>
    <t xml:space="preserve">2026-05-11 17:12:10	</t>
  </si>
  <si>
    <t xml:space="preserve">2026-05-27 17:45:42	</t>
  </si>
  <si>
    <t xml:space="preserve">越南鸿发MC进出口有限公司	</t>
  </si>
  <si>
    <t xml:space="preserve">1063	</t>
  </si>
  <si>
    <t xml:space="preserve">2053761307470508033	</t>
  </si>
  <si>
    <t xml:space="preserve">0913237269	</t>
  </si>
  <si>
    <t xml:space="preserve">NGUYỄN XUÂN HOÀN	</t>
  </si>
  <si>
    <t xml:space="preserve">2026-05-12 09:27:42	</t>
  </si>
  <si>
    <t xml:space="preserve">2026-05-18 22:27:14	</t>
  </si>
  <si>
    <t xml:space="preserve">越南卷芝贸易服务有限公司	</t>
  </si>
  <si>
    <t xml:space="preserve">1069	</t>
  </si>
  <si>
    <t xml:space="preserve">2054131309499428866	</t>
  </si>
  <si>
    <t xml:space="preserve">Số 9 Trần Đăng Tuyển ,Vũ Ninh , Bắc Ninh 	</t>
  </si>
  <si>
    <t xml:space="preserve">0387882186	</t>
  </si>
  <si>
    <t xml:space="preserve">VŨ XUÂN QUYẾN	</t>
  </si>
  <si>
    <t xml:space="preserve">2026-05-14 19:20:32	</t>
  </si>
  <si>
    <t xml:space="preserve">2026-05-20 11:53:57	</t>
  </si>
  <si>
    <t xml:space="preserve">越南福禄BG进出口有限公司	</t>
  </si>
  <si>
    <t xml:space="preserve">1074	</t>
  </si>
  <si>
    <t xml:space="preserve">2055239694974234625	</t>
  </si>
  <si>
    <t xml:space="preserve">Tổ 3 phường đa mai tỉnh bắc ninh	</t>
  </si>
  <si>
    <t xml:space="preserve">0983915597	</t>
  </si>
  <si>
    <t xml:space="preserve">LƯƠNG VĂN PHÚC	</t>
  </si>
  <si>
    <t xml:space="preserve">2026-05-15 19:03:19	</t>
  </si>
  <si>
    <t xml:space="preserve">2026-05-27 15:01:13	</t>
  </si>
  <si>
    <t xml:space="preserve">1084	</t>
  </si>
  <si>
    <t xml:space="preserve">Tờ bản đồ số 15, Tổ Dân Phố Hạ, Phường Hồng An, Thành phố Hải Phòng, Việt Nam	</t>
  </si>
  <si>
    <t xml:space="preserve">0922 882 022	</t>
  </si>
  <si>
    <t xml:space="preserve">Chị Thủy	</t>
  </si>
  <si>
    <t xml:space="preserve">2026-05-20 18:15:32	</t>
  </si>
  <si>
    <t xml:space="preserve">1085	</t>
  </si>
  <si>
    <t xml:space="preserve">Số 7, đường 9, KCN VietNam – Singapore (VSIP), Phù Chẩn, Từ Sơn, Bắc Ninh	</t>
  </si>
  <si>
    <t xml:space="preserve">2026-05-20 18:16:15	</t>
  </si>
  <si>
    <t>客户名称</t>
  </si>
  <si>
    <t>客户编码</t>
  </si>
  <si>
    <t>客户仓库地址</t>
  </si>
  <si>
    <t>仓库联系人电话</t>
  </si>
  <si>
    <r>
      <rPr>
        <b/>
        <sz val="14"/>
        <color rgb="FF000000"/>
        <rFont val="宋体"/>
        <charset val="134"/>
      </rPr>
      <t>成交确认书</t>
    </r>
  </si>
  <si>
    <t>XÁC NHẬN GIAO DỊCH</t>
  </si>
  <si>
    <t>休假日</t>
  </si>
  <si>
    <t>补上班日</t>
  </si>
  <si>
    <t>合同签订日期</t>
  </si>
  <si>
    <t>Plaintext</t>
  </si>
  <si>
    <r>
      <rPr>
        <sz val="11"/>
        <color theme="1"/>
        <rFont val="SimSun"/>
        <charset val="134"/>
      </rPr>
      <t>胡志明市，越南</t>
    </r>
  </si>
  <si>
    <t>Thành phố Hồ Chí Minh, Việt Nam.</t>
  </si>
  <si>
    <r>
      <rPr>
        <b/>
        <sz val="11"/>
        <color theme="1"/>
        <rFont val="宋体"/>
        <charset val="134"/>
      </rPr>
      <t>甲方（</t>
    </r>
    <r>
      <rPr>
        <b/>
        <sz val="11"/>
        <color rgb="FF1F1F1F"/>
        <rFont val="Times New Roman"/>
        <charset val="134"/>
      </rPr>
      <t>“</t>
    </r>
    <r>
      <rPr>
        <b/>
        <sz val="11"/>
        <color rgb="FF1F1F1F"/>
        <rFont val="宋体"/>
        <charset val="134"/>
      </rPr>
      <t>卖方</t>
    </r>
    <r>
      <rPr>
        <b/>
        <sz val="11"/>
        <color rgb="FF1F1F1F"/>
        <rFont val="Times New Roman"/>
        <charset val="134"/>
      </rPr>
      <t>”</t>
    </r>
    <r>
      <rPr>
        <b/>
        <sz val="11"/>
        <color rgb="FF1F1F1F"/>
        <rFont val="宋体"/>
        <charset val="134"/>
      </rPr>
      <t>）：海天越南有限公司</t>
    </r>
  </si>
  <si>
    <t>预计30日后的交付日期</t>
  </si>
  <si>
    <t>Bên A ("Bên Bán"): CÔNG TY TNHH HADAY VIỆT NAM</t>
  </si>
  <si>
    <r>
      <rPr>
        <sz val="11"/>
        <color theme="1"/>
        <rFont val="宋体"/>
        <charset val="134"/>
      </rPr>
      <t>税号：</t>
    </r>
    <r>
      <rPr>
        <sz val="11"/>
        <color theme="1"/>
        <rFont val="Times New Roman"/>
        <charset val="134"/>
      </rPr>
      <t>0318185296</t>
    </r>
  </si>
  <si>
    <t>Mã số thuế: 0318185296</t>
  </si>
  <si>
    <r>
      <rPr>
        <sz val="11"/>
        <color theme="1"/>
        <rFont val="宋体"/>
        <charset val="134"/>
      </rPr>
      <t>地址：越南胡志明市新兴坊何辉集路</t>
    </r>
    <r>
      <rPr>
        <sz val="11"/>
        <color theme="1"/>
        <rFont val="Times New Roman"/>
        <charset val="134"/>
      </rPr>
      <t>168</t>
    </r>
    <r>
      <rPr>
        <sz val="11"/>
        <color theme="1"/>
        <rFont val="宋体"/>
        <charset val="134"/>
      </rPr>
      <t>号</t>
    </r>
  </si>
  <si>
    <t>Địa chỉ: Số 168, Đường Hà Huy Tập, Phường Tân Hưng, Thành phố Hồ Chí Minh, Việt Nam</t>
  </si>
  <si>
    <t>代表人：裴迎宾</t>
  </si>
  <si>
    <t>Người đại diện: PEI,YINGBIN</t>
  </si>
  <si>
    <t>职务：总经理</t>
  </si>
  <si>
    <t>Chức vụ: TỔNG GIÁM ĐỐC</t>
  </si>
  <si>
    <r>
      <rPr>
        <sz val="11"/>
        <color theme="1"/>
        <rFont val="宋体"/>
        <charset val="134"/>
      </rPr>
      <t>电话：</t>
    </r>
    <r>
      <rPr>
        <sz val="11"/>
        <color theme="1"/>
        <rFont val="Times New Roman"/>
        <charset val="134"/>
      </rPr>
      <t>+84-2854166016</t>
    </r>
  </si>
  <si>
    <t>Điện thoại: +84-2854166016</t>
  </si>
  <si>
    <t>按照以下约定，买方同意采购、卖方同意销售以下产品：</t>
  </si>
  <si>
    <t>Theo các thỏa thuận sau đây, Bên Mua đồng ý mua và Bên Bán đồng ý bán các sản phẩm dưới đây:</t>
  </si>
  <si>
    <r>
      <rPr>
        <sz val="11"/>
        <color rgb="FF000000"/>
        <rFont val="Times New Roman"/>
        <charset val="134"/>
      </rPr>
      <t xml:space="preserve">1. </t>
    </r>
    <r>
      <rPr>
        <sz val="11"/>
        <color rgb="FF000000"/>
        <rFont val="SimSun"/>
        <charset val="134"/>
      </rPr>
      <t>商品信息</t>
    </r>
    <r>
      <rPr>
        <sz val="11"/>
        <color rgb="FF000000"/>
        <rFont val="Times New Roman"/>
        <charset val="134"/>
      </rPr>
      <t xml:space="preserve"> (Thông tin Sản phẩm):</t>
    </r>
  </si>
  <si>
    <t>品名及规格</t>
  </si>
  <si>
    <t>单位</t>
  </si>
  <si>
    <t>单价（未税）</t>
  </si>
  <si>
    <t>金额（未税）</t>
  </si>
  <si>
    <t>此表的数据会自动生成，无需编辑</t>
  </si>
  <si>
    <t>(STT)</t>
  </si>
  <si>
    <t>(Tên hàng &amp; Quy cách)</t>
  </si>
  <si>
    <t>(Đơn vị)</t>
  </si>
  <si>
    <t>(Số lượng)</t>
  </si>
  <si>
    <t>(Đơn giá - Chưa thuế)</t>
  </si>
  <si>
    <t>(Thành tiền - Chưa thuế)</t>
  </si>
  <si>
    <t>自行删除空白行后另存PDF发送给客户即可</t>
  </si>
  <si>
    <r>
      <rPr>
        <sz val="11"/>
        <color rgb="FF000000"/>
        <rFont val="Times New Roman"/>
        <charset val="134"/>
      </rPr>
      <t xml:space="preserve">(6) </t>
    </r>
    <r>
      <rPr>
        <sz val="11"/>
        <color rgb="FF000000"/>
        <rFont val="SimSun"/>
        <charset val="134"/>
      </rPr>
      <t>商品金额小计</t>
    </r>
    <r>
      <rPr>
        <sz val="11"/>
        <color rgb="FF000000"/>
        <rFont val="Times New Roman"/>
        <charset val="134"/>
      </rPr>
      <t xml:space="preserve"> (Tổng cộng tiền hàng):</t>
    </r>
  </si>
  <si>
    <r>
      <rPr>
        <sz val="11"/>
        <color rgb="FF000000"/>
        <rFont val="Times New Roman"/>
        <charset val="134"/>
      </rPr>
      <t xml:space="preserve">(7) </t>
    </r>
    <r>
      <rPr>
        <sz val="11"/>
        <color rgb="FF000000"/>
        <rFont val="SimSun"/>
        <charset val="134"/>
      </rPr>
      <t>折扣</t>
    </r>
    <r>
      <rPr>
        <sz val="11"/>
        <color rgb="FF000000"/>
        <rFont val="Times New Roman"/>
        <charset val="134"/>
      </rPr>
      <t xml:space="preserve"> (Chiết khấu):</t>
    </r>
  </si>
  <si>
    <r>
      <rPr>
        <sz val="11"/>
        <color rgb="FF000000"/>
        <rFont val="Times New Roman"/>
        <charset val="134"/>
      </rPr>
      <t xml:space="preserve">(8) </t>
    </r>
    <r>
      <rPr>
        <sz val="11"/>
        <color rgb="FF000000"/>
        <rFont val="SimSun"/>
        <charset val="134"/>
      </rPr>
      <t>其他附加费用，如有</t>
    </r>
    <r>
      <rPr>
        <sz val="11"/>
        <color rgb="FF000000"/>
        <rFont val="Times New Roman"/>
        <charset val="134"/>
      </rPr>
      <t xml:space="preserve"> (Chi phí phát sinh khác, nếu có) :</t>
    </r>
  </si>
  <si>
    <r>
      <rPr>
        <sz val="11"/>
        <color rgb="FF000000"/>
        <rFont val="Times New Roman"/>
        <charset val="134"/>
      </rPr>
      <t xml:space="preserve">(9) </t>
    </r>
    <r>
      <rPr>
        <sz val="11"/>
        <color rgb="FF000000"/>
        <rFont val="SimSun"/>
        <charset val="134"/>
      </rPr>
      <t>不含税总金额</t>
    </r>
    <r>
      <rPr>
        <sz val="11"/>
        <color rgb="FF000000"/>
        <rFont val="Times New Roman"/>
        <charset val="134"/>
      </rPr>
      <t xml:space="preserve"> (Tổng tiền chưa thuế)</t>
    </r>
  </si>
  <si>
    <r>
      <rPr>
        <sz val="11"/>
        <color rgb="FF000000"/>
        <rFont val="Times New Roman"/>
        <charset val="134"/>
      </rPr>
      <t xml:space="preserve">(10) </t>
    </r>
    <r>
      <rPr>
        <sz val="11"/>
        <color rgb="FF000000"/>
        <rFont val="SimSun"/>
        <charset val="134"/>
      </rPr>
      <t>增值税</t>
    </r>
    <r>
      <rPr>
        <sz val="11"/>
        <color rgb="FF000000"/>
        <rFont val="Times New Roman"/>
        <charset val="134"/>
      </rPr>
      <t xml:space="preserve"> (Thuế GTGT):</t>
    </r>
  </si>
  <si>
    <r>
      <rPr>
        <sz val="11"/>
        <color rgb="FF000000"/>
        <rFont val="Times New Roman"/>
        <charset val="134"/>
      </rPr>
      <t xml:space="preserve">(11) </t>
    </r>
    <r>
      <rPr>
        <sz val="11"/>
        <color rgb="FF000000"/>
        <rFont val="SimSun"/>
        <charset val="134"/>
      </rPr>
      <t>含税总金额</t>
    </r>
    <r>
      <rPr>
        <sz val="11"/>
        <color rgb="FF000000"/>
        <rFont val="Times New Roman"/>
        <charset val="134"/>
      </rPr>
      <t xml:space="preserve"> (Tổng số tiền bao gồm thuế):</t>
    </r>
  </si>
  <si>
    <r>
      <rPr>
        <sz val="11"/>
        <color rgb="FF000000"/>
        <rFont val="Times New Roman"/>
        <charset val="134"/>
      </rPr>
      <t xml:space="preserve">2. </t>
    </r>
    <r>
      <rPr>
        <sz val="11"/>
        <color rgb="FF000000"/>
        <rFont val="SimSun"/>
        <charset val="134"/>
      </rPr>
      <t>运输与交付</t>
    </r>
    <r>
      <rPr>
        <sz val="11"/>
        <color rgb="FF000000"/>
        <rFont val="Times New Roman"/>
        <charset val="134"/>
      </rPr>
      <t xml:space="preserve"> (Vận chuyển và Giao hàng):</t>
    </r>
  </si>
  <si>
    <t>如字段显示不完整，请自行插入行，点击换行，左对齐</t>
  </si>
  <si>
    <t>如涉及多个地址，分多单，一个地址一个单</t>
  </si>
  <si>
    <r>
      <rPr>
        <sz val="11"/>
        <color rgb="FF000000"/>
        <rFont val="Times New Roman"/>
        <charset val="134"/>
      </rPr>
      <t xml:space="preserve">3. </t>
    </r>
    <r>
      <rPr>
        <sz val="11"/>
        <color rgb="FF000000"/>
        <rFont val="SimSun"/>
        <charset val="134"/>
      </rPr>
      <t>付款方式</t>
    </r>
    <r>
      <rPr>
        <sz val="11"/>
        <color rgb="FF000000"/>
        <rFont val="Times New Roman"/>
        <charset val="134"/>
      </rPr>
      <t xml:space="preserve"> (Phương thức thanh toán):</t>
    </r>
  </si>
  <si>
    <t>待绑定经销商协议，根据客户协议自动调整。</t>
  </si>
  <si>
    <t>如字段显示不完整，请自行插入行/调整行高</t>
  </si>
  <si>
    <r>
      <rPr>
        <sz val="11"/>
        <color rgb="FF000000"/>
        <rFont val="Times New Roman"/>
        <charset val="134"/>
      </rPr>
      <t xml:space="preserve">4. </t>
    </r>
    <r>
      <rPr>
        <sz val="11"/>
        <color rgb="FF000000"/>
        <rFont val="SimSun"/>
        <charset val="134"/>
      </rPr>
      <t>卖方收款信息</t>
    </r>
    <r>
      <rPr>
        <sz val="11"/>
        <color rgb="FF000000"/>
        <rFont val="Times New Roman"/>
        <charset val="134"/>
      </rPr>
      <t xml:space="preserve"> (Thông tin tài khoản ngân hàng của Bên Bán):</t>
    </r>
  </si>
  <si>
    <t>BÊN A:  CÔNG TY TNHH HADAY VIỆT NAM</t>
  </si>
  <si>
    <t>甲方：海天越南有限公司</t>
  </si>
  <si>
    <t xml:space="preserve">Số tài khoản:  112002975639 </t>
  </si>
  <si>
    <r>
      <rPr>
        <sz val="11"/>
        <color rgb="FF000000"/>
        <rFont val="SimSun"/>
        <charset val="134"/>
      </rPr>
      <t>账号：</t>
    </r>
    <r>
      <rPr>
        <sz val="11"/>
        <color rgb="FF000000"/>
        <rFont val="Times New Roman"/>
        <charset val="134"/>
      </rPr>
      <t xml:space="preserve">112002975639 </t>
    </r>
  </si>
  <si>
    <t>Tại Ngân hàng: Ngân Hàng TMCP Công Thương Việt Nam - CN 7 - TP HCM</t>
  </si>
  <si>
    <r>
      <rPr>
        <sz val="11"/>
        <color rgb="FF000000"/>
        <rFont val="SimSun"/>
        <charset val="134"/>
      </rPr>
      <t>银行名称：越南工贸股份商业银行</t>
    </r>
    <r>
      <rPr>
        <sz val="11"/>
        <color rgb="FF000000"/>
        <rFont val="Times New Roman"/>
        <charset val="134"/>
      </rPr>
      <t xml:space="preserve"> - </t>
    </r>
    <r>
      <rPr>
        <sz val="11"/>
        <color rgb="FF000000"/>
        <rFont val="SimSun"/>
        <charset val="134"/>
      </rPr>
      <t>第</t>
    </r>
    <r>
      <rPr>
        <sz val="11"/>
        <color rgb="FF000000"/>
        <rFont val="Times New Roman"/>
        <charset val="134"/>
      </rPr>
      <t xml:space="preserve"> 7 </t>
    </r>
    <r>
      <rPr>
        <sz val="11"/>
        <color rgb="FF000000"/>
        <rFont val="SimSun"/>
        <charset val="134"/>
      </rPr>
      <t>分行</t>
    </r>
    <r>
      <rPr>
        <sz val="11"/>
        <color rgb="FF000000"/>
        <rFont val="Times New Roman"/>
        <charset val="134"/>
      </rPr>
      <t xml:space="preserve"> - </t>
    </r>
    <r>
      <rPr>
        <sz val="11"/>
        <color rgb="FF000000"/>
        <rFont val="SimSun"/>
        <charset val="134"/>
      </rPr>
      <t>胡志明市</t>
    </r>
  </si>
  <si>
    <r>
      <rPr>
        <sz val="11"/>
        <color rgb="FF000000"/>
        <rFont val="Times New Roman"/>
        <charset val="134"/>
      </rPr>
      <t xml:space="preserve">5. </t>
    </r>
    <r>
      <rPr>
        <sz val="11"/>
        <color rgb="FF000000"/>
        <rFont val="SimSun"/>
        <charset val="134"/>
      </rPr>
      <t>其他约定</t>
    </r>
    <r>
      <rPr>
        <sz val="11"/>
        <color rgb="FF000000"/>
        <rFont val="Times New Roman"/>
        <charset val="134"/>
      </rPr>
      <t xml:space="preserve"> (Các điều khoản khác):</t>
    </r>
  </si>
  <si>
    <r>
      <rPr>
        <sz val="11"/>
        <color rgb="FF000000"/>
        <rFont val="Times New Roman"/>
        <charset val="134"/>
      </rPr>
      <t xml:space="preserve">(1) </t>
    </r>
    <r>
      <rPr>
        <sz val="11"/>
        <color rgb="FF000000"/>
        <rFont val="SimSun"/>
        <charset val="134"/>
      </rPr>
      <t>若与本确认书相关的单证记载的收货方为买方以外的第三方，或者卖方按照买方的指示向第三方交付产品的，买方仍应直接向卖方支付本确认书的款项。</t>
    </r>
  </si>
  <si>
    <t>Nếu người nhận hàng được ghi nhận trong các chứng từ liên quan đến Bản xác nhận này là bên thứ ba không phải Bên Mua, hoặc nếu Bên Bán giao sản phẩm cho bên thứ ba theo chỉ thị của Bên Mua, Bên Mua vẫn phải thanh toán trực tiếp cho Bên Bán toàn bộ số tiền theo Bản xác nhận này.</t>
  </si>
  <si>
    <r>
      <rPr>
        <sz val="11"/>
        <color rgb="FF000000"/>
        <rFont val="Times New Roman"/>
        <charset val="134"/>
      </rPr>
      <t xml:space="preserve">(2) </t>
    </r>
    <r>
      <rPr>
        <sz val="11"/>
        <color rgb="FF000000"/>
        <rFont val="SimSun"/>
        <charset val="134"/>
      </rPr>
      <t>本确认书是买方与卖方之间签署</t>
    </r>
    <r>
      <rPr>
        <sz val="11"/>
        <color rgb="FF000000"/>
        <rFont val="Times New Roman"/>
        <charset val="134"/>
      </rPr>
      <t xml:space="preserve"> of </t>
    </r>
    <r>
      <rPr>
        <sz val="11"/>
        <color rgb="FF000000"/>
        <rFont val="SimSun"/>
        <charset val="134"/>
      </rPr>
      <t>《经销协议书》（具体名称以双方实际签订的协议为准）不可分割的一部分。本确认书未约定的事项，应按照前述协议的约定执行。</t>
    </r>
  </si>
  <si>
    <t>Bản xác nhận này là một bộ phận không thể tách rời của "Hợp đồng phân phối" (tên gọi cụ thể sẽ theo hợp đồng thực tế được ký kết) được ký kết giữa Bên Mua và Bên Bán. Đối với những vấn đề chưa được quy định trong Bản xác nhận này, sẽ được thực hiện theo quy định của hợp đồng nói trên.</t>
  </si>
  <si>
    <r>
      <t xml:space="preserve">(3) </t>
    </r>
    <r>
      <rPr>
        <sz val="11"/>
        <color rgb="FF000000"/>
        <rFont val="SimSun"/>
        <charset val="134"/>
      </rPr>
      <t>本确认书的扫描件或复印件与原件具有同等法律效力。电子签名与物理签名具有同等法律效力。</t>
    </r>
  </si>
  <si>
    <t>Bản quét (scan) hoặc bản sao của Bản xác nhận này có giá trị pháp lý tương đương bản gốc. Chữ ký điện tử có giá trị pháp lý tương đương chữ ký tay trực tiếp.</t>
  </si>
  <si>
    <r>
      <t xml:space="preserve">(3) </t>
    </r>
    <r>
      <rPr>
        <sz val="11"/>
        <rFont val="宋体"/>
        <charset val="134"/>
      </rPr>
      <t>双方同意，物流方将货物送达乙方指定地点后，由乙方或乙方指定的收货人员进行签收。若乙方签署的收货凭证（包括但不限于送货单、入库单、签收单等，以下统称</t>
    </r>
    <r>
      <rPr>
        <sz val="11"/>
        <rFont val="Times New Roman"/>
        <charset val="134"/>
      </rPr>
      <t>“</t>
    </r>
    <r>
      <rPr>
        <sz val="11"/>
        <rFont val="宋体"/>
        <charset val="134"/>
      </rPr>
      <t>签收单据</t>
    </r>
    <r>
      <rPr>
        <sz val="11"/>
        <rFont val="Times New Roman"/>
        <charset val="134"/>
      </rPr>
      <t>”</t>
    </r>
    <r>
      <rPr>
        <sz val="11"/>
        <rFont val="宋体"/>
        <charset val="134"/>
      </rPr>
      <t>）上记载的货物数量与本成交确认书约定的数量不一致的，以乙方实际签收的单据记载的数量为准。双方应依据最终确认的签收数量，在结算当期货款时进行据实调整。</t>
    </r>
  </si>
  <si>
    <t>Hai bên đồng ý rằng, sau khi bên hậu cần (logistics) vận chuyển hàng hóa đến địa điểm do Bên B chỉ định, Bên B hoặc nhân viên nhận hàng do Bên B chỉ định sẽ tiến hành ký nhận. Nếu số lượng hàng hóa ghi trên chứng từ nhận hàng do Bên B ký nhận (bao gồm nhưng không giới hạn ở phiếu giao hàng, phiếu nhập kho, biên bản ký nhận, v.v., sau đây gọi chung là “chứng từ ký nhận”) không nhất quán với số lượng đã thỏa thuận trong Xác nhận giao dịch này, thì số lượng ghi trên chứng từ do Bên B thực tế ký nhận sẽ được áp dụng làm chuẩn. Hai bên sẽ căn cứ vào số lượng ký nhận được xác nhận cuối cùng để điều chỉnh theo thực tế khi quyết toán tiền hàng của kỳ đó.</t>
  </si>
  <si>
    <r>
      <rPr>
        <sz val="11"/>
        <color rgb="FF000000"/>
        <rFont val="Times New Roman"/>
        <charset val="134"/>
      </rPr>
      <t xml:space="preserve">6. </t>
    </r>
    <r>
      <rPr>
        <sz val="11"/>
        <color rgb="FF000000"/>
        <rFont val="SimSun"/>
        <charset val="134"/>
      </rPr>
      <t>备注</t>
    </r>
    <r>
      <rPr>
        <sz val="11"/>
        <color rgb="FF000000"/>
        <rFont val="Times New Roman"/>
        <charset val="134"/>
      </rPr>
      <t xml:space="preserve"> (Ghi chú):</t>
    </r>
  </si>
  <si>
    <t>卖方将按照开票时的法定税率向买方开具发票。如发生税率变化，则卖方相应调整价格。</t>
  </si>
  <si>
    <t>Bên Bán sẽ xuất hóa đơn GTGT cho Bên Mua theo mức thuế suất pháp định tại thời điểm xuất hóa đơn. Nếu có sự thay đổi về thuế suất, giá bán sẽ được điều chỉnh tương ứng.</t>
  </si>
  <si>
    <t>于上述日期，以下公司同意本成交确认书：</t>
  </si>
  <si>
    <t>Vào ngày nêu trên, các bên dưới đây đồng ý chấp thuận Bản xác nhận giao dịch này:</t>
  </si>
  <si>
    <t>卖方</t>
  </si>
  <si>
    <t>买方</t>
  </si>
  <si>
    <t>Bên Bán</t>
  </si>
  <si>
    <t>Bên Mua</t>
  </si>
  <si>
    <t>签字：</t>
  </si>
  <si>
    <t>Chữ ký:</t>
  </si>
  <si>
    <t>日期：</t>
  </si>
  <si>
    <t>Ngày:</t>
  </si>
  <si>
    <t>客户区域</t>
  </si>
  <si>
    <r>
      <rPr>
        <sz val="10"/>
        <color rgb="FFFF0000"/>
        <rFont val="宋体"/>
        <charset val="134"/>
      </rPr>
      <t>自买方同意本确认书之日起</t>
    </r>
    <r>
      <rPr>
        <sz val="10"/>
        <color rgb="FFFF0000"/>
        <rFont val="Times New Roman"/>
        <charset val="134"/>
      </rPr>
      <t>3</t>
    </r>
    <r>
      <rPr>
        <sz val="10"/>
        <color rgb="FFFF0000"/>
        <rFont val="宋体"/>
        <charset val="134"/>
      </rPr>
      <t>个工作日内，买方应以电汇方式向卖方支付上述</t>
    </r>
    <r>
      <rPr>
        <sz val="10"/>
        <color rgb="FFFF0000"/>
        <rFont val="Times New Roman"/>
        <charset val="134"/>
      </rPr>
      <t>“</t>
    </r>
    <r>
      <rPr>
        <sz val="10"/>
        <color rgb="FFFF0000"/>
        <rFont val="宋体"/>
        <charset val="134"/>
      </rPr>
      <t>总值</t>
    </r>
    <r>
      <rPr>
        <sz val="10"/>
        <color rgb="FFFF0000"/>
        <rFont val="Times New Roman"/>
        <charset val="134"/>
      </rPr>
      <t>”</t>
    </r>
    <r>
      <rPr>
        <sz val="10"/>
        <color rgb="FFFF0000"/>
        <rFont val="宋体"/>
        <charset val="134"/>
      </rPr>
      <t>的全部金额。卖方将在收到足额付款后的【7】个工作日内，安排从其在越南境内的</t>
    </r>
    <r>
      <rPr>
        <sz val="10"/>
        <color rgb="FFFF0000"/>
        <rFont val="Times New Roman"/>
        <charset val="134"/>
      </rPr>
      <t>RDC</t>
    </r>
    <r>
      <rPr>
        <sz val="10"/>
        <color rgb="FFFF0000"/>
        <rFont val="宋体"/>
        <charset val="134"/>
      </rPr>
      <t>仓库发货。</t>
    </r>
    <r>
      <rPr>
        <sz val="10"/>
        <color rgb="FFFF0000"/>
        <rFont val="Times New Roman"/>
        <charset val="134"/>
      </rPr>
      <t xml:space="preserve">
Trong vòng 03 ngày làm việc kể từ ngày Bên Mua chấp thuận Bản Xác nhận này, Bên Mua phải thanh toán toàn bộ số tiền của "Tổng giá trị" nói trên cho Bên Bán bằng hình thức chuyển khoản bằng điện (T/T). Bên Bán sẽ sắp xếp xuất hàng từ kho RDC của mình tại Việt Nam trong vòng </t>
    </r>
    <r>
      <rPr>
        <sz val="10"/>
        <color rgb="FFFF0000"/>
        <rFont val="宋体"/>
        <charset val="134"/>
      </rPr>
      <t>【7】</t>
    </r>
    <r>
      <rPr>
        <sz val="10"/>
        <color rgb="FFFF0000"/>
        <rFont val="Times New Roman"/>
        <charset val="134"/>
      </rPr>
      <t xml:space="preserve"> ngày làm việc kể từ khi nhận được thanh toán đầy đủ.</t>
    </r>
  </si>
  <si>
    <r>
      <rPr>
        <b/>
        <sz val="14"/>
        <color rgb="FF000000"/>
        <rFont val="宋体"/>
        <charset val="134"/>
      </rPr>
      <t>折扣附录</t>
    </r>
    <r>
      <rPr>
        <b/>
        <sz val="14"/>
        <color rgb="FF000000"/>
        <rFont val="Times New Roman"/>
        <charset val="134"/>
      </rPr>
      <t>-</t>
    </r>
    <r>
      <rPr>
        <b/>
        <sz val="14"/>
        <color rgb="FF000000"/>
        <rFont val="宋体"/>
        <charset val="134"/>
      </rPr>
      <t>附录</t>
    </r>
    <r>
      <rPr>
        <b/>
        <sz val="14"/>
        <color rgb="FF000000"/>
        <rFont val="Times New Roman"/>
        <charset val="134"/>
      </rPr>
      <t>1</t>
    </r>
  </si>
  <si>
    <t>PHỤ LỤC CHIẾT KHẤU - PHỤ LỤC 1</t>
  </si>
  <si>
    <t>胡志明市，越南</t>
  </si>
  <si>
    <r>
      <rPr>
        <sz val="11"/>
        <color theme="1"/>
        <rFont val="宋体"/>
        <charset val="134"/>
      </rPr>
      <t>代表人：裴迎宾</t>
    </r>
  </si>
  <si>
    <r>
      <rPr>
        <sz val="11"/>
        <color theme="1"/>
        <rFont val="宋体"/>
        <charset val="134"/>
      </rPr>
      <t>职务：总经理</t>
    </r>
  </si>
  <si>
    <t>客户地址更行</t>
  </si>
  <si>
    <r>
      <rPr>
        <sz val="11"/>
        <color rgb="FF000000"/>
        <rFont val="宋体"/>
        <charset val="134"/>
      </rPr>
      <t>经双方同意，本附录为折扣明细列示。</t>
    </r>
  </si>
  <si>
    <t>Theo sự đồng ý của cả hai bên, phụ lục này là bảng kê chi tiết các khoản chiết khấu.</t>
  </si>
  <si>
    <r>
      <rPr>
        <b/>
        <sz val="11"/>
        <color theme="1"/>
        <rFont val="Times New Roman"/>
        <charset val="134"/>
      </rPr>
      <t xml:space="preserve">1. </t>
    </r>
    <r>
      <rPr>
        <b/>
        <sz val="11"/>
        <color theme="1"/>
        <rFont val="宋体"/>
        <charset val="134"/>
      </rPr>
      <t>折扣信息</t>
    </r>
  </si>
  <si>
    <t>1. Thông tin Chiết khấu</t>
  </si>
  <si>
    <r>
      <rPr>
        <b/>
        <sz val="11"/>
        <color rgb="FF000000"/>
        <rFont val="宋体"/>
        <charset val="134"/>
      </rPr>
      <t>序号</t>
    </r>
    <r>
      <rPr>
        <b/>
        <sz val="11"/>
        <color rgb="FF000000"/>
        <rFont val="Times New Roman"/>
        <charset val="134"/>
      </rPr>
      <t xml:space="preserve"> 
(STT)</t>
    </r>
  </si>
  <si>
    <r>
      <rPr>
        <b/>
        <sz val="11"/>
        <color theme="1"/>
        <rFont val="宋体"/>
        <charset val="134"/>
      </rPr>
      <t>折扣类型</t>
    </r>
    <r>
      <rPr>
        <b/>
        <sz val="11"/>
        <color theme="1"/>
        <rFont val="Times New Roman"/>
        <charset val="134"/>
      </rPr>
      <t xml:space="preserve"> 
(Loại chiết khấu)</t>
    </r>
  </si>
  <si>
    <r>
      <rPr>
        <b/>
        <sz val="11"/>
        <color theme="1"/>
        <rFont val="宋体"/>
        <charset val="134"/>
      </rPr>
      <t>金额</t>
    </r>
    <r>
      <rPr>
        <b/>
        <sz val="11"/>
        <color theme="1"/>
        <rFont val="Times New Roman"/>
        <charset val="134"/>
      </rPr>
      <t xml:space="preserve"> 
(Số tiền)
VND</t>
    </r>
  </si>
  <si>
    <r>
      <rPr>
        <b/>
        <sz val="11"/>
        <color theme="1"/>
        <rFont val="宋体"/>
        <charset val="134"/>
      </rPr>
      <t>说明</t>
    </r>
    <r>
      <rPr>
        <b/>
        <sz val="11"/>
        <color theme="1"/>
        <rFont val="Times New Roman"/>
        <charset val="134"/>
      </rPr>
      <t xml:space="preserve"> 
(Ghi chú)</t>
    </r>
  </si>
  <si>
    <t>含税</t>
  </si>
  <si>
    <t>填表说明</t>
  </si>
  <si>
    <t>常规折扣
Chiết khấu thông thường</t>
  </si>
  <si>
    <r>
      <rPr>
        <sz val="11"/>
        <color theme="1"/>
        <rFont val="SimSun"/>
        <charset val="134"/>
      </rPr>
      <t>常规买</t>
    </r>
    <r>
      <rPr>
        <sz val="11"/>
        <color theme="1"/>
        <rFont val="Times New Roman"/>
        <charset val="134"/>
      </rPr>
      <t>10</t>
    </r>
    <r>
      <rPr>
        <sz val="11"/>
        <color theme="1"/>
        <rFont val="SimSun"/>
        <charset val="134"/>
      </rPr>
      <t>送</t>
    </r>
    <r>
      <rPr>
        <sz val="11"/>
        <color theme="1"/>
        <rFont val="Times New Roman"/>
        <charset val="134"/>
      </rPr>
      <t>1</t>
    </r>
    <r>
      <rPr>
        <sz val="11"/>
        <color theme="1"/>
        <rFont val="SimSun"/>
        <charset val="134"/>
      </rPr>
      <t>，买</t>
    </r>
    <r>
      <rPr>
        <sz val="11"/>
        <color theme="1"/>
        <rFont val="Times New Roman"/>
        <charset val="134"/>
      </rPr>
      <t>6</t>
    </r>
    <r>
      <rPr>
        <sz val="11"/>
        <color theme="1"/>
        <rFont val="SimSun"/>
        <charset val="134"/>
      </rPr>
      <t>送</t>
    </r>
    <r>
      <rPr>
        <sz val="11"/>
        <color theme="1"/>
        <rFont val="Times New Roman"/>
        <charset val="134"/>
      </rPr>
      <t>1</t>
    </r>
    <r>
      <rPr>
        <sz val="11"/>
        <color theme="1"/>
        <rFont val="SimSun"/>
        <charset val="134"/>
      </rPr>
      <t>，填写此处</t>
    </r>
  </si>
  <si>
    <t xml:space="preserve">市场补助
Hỗ trợ tiếp thị </t>
  </si>
  <si>
    <t>货补等，需要收货人签收确认作为支撑文件。待提供文件模板。</t>
  </si>
  <si>
    <t xml:space="preserve">联盟商奖励
Thưởng cho đối tác liên kết </t>
  </si>
  <si>
    <r>
      <rPr>
        <sz val="11"/>
        <color theme="1"/>
        <rFont val="SimSun"/>
        <charset val="134"/>
      </rPr>
      <t>说明清楚计算逻辑：</t>
    </r>
    <r>
      <rPr>
        <sz val="11"/>
        <color theme="1"/>
        <rFont val="Times New Roman"/>
        <charset val="134"/>
      </rPr>
      <t>10000*x</t>
    </r>
    <r>
      <rPr>
        <sz val="11"/>
        <color theme="1"/>
        <rFont val="SimSun"/>
        <charset val="134"/>
      </rPr>
      <t>箱，如有，列示：二批客户数量或名称</t>
    </r>
  </si>
  <si>
    <t>常规经销商奖励
Thưởng nhà phân phối thường kỳ</t>
  </si>
  <si>
    <t>未来规划通过抵扣往来款处理，待后续更新政策</t>
  </si>
  <si>
    <t>年度经销商奖励
Thưởng nhà phân phối hàng năm</t>
  </si>
  <si>
    <r>
      <rPr>
        <sz val="11"/>
        <color theme="1"/>
        <rFont val="SimSun"/>
        <charset val="134"/>
      </rPr>
      <t>其他（如有）</t>
    </r>
    <r>
      <rPr>
        <sz val="11"/>
        <color theme="1"/>
        <rFont val="Times New Roman"/>
        <charset val="134"/>
      </rPr>
      <t xml:space="preserve">
Khác, </t>
    </r>
    <r>
      <rPr>
        <sz val="11"/>
        <color theme="1"/>
        <rFont val="SimSun"/>
        <charset val="134"/>
      </rPr>
      <t>（</t>
    </r>
    <r>
      <rPr>
        <sz val="11"/>
        <color theme="1"/>
        <rFont val="Times New Roman"/>
        <charset val="134"/>
      </rPr>
      <t>nếu có</t>
    </r>
    <r>
      <rPr>
        <sz val="11"/>
        <color theme="1"/>
        <rFont val="SimSun"/>
        <charset val="134"/>
      </rPr>
      <t>）</t>
    </r>
  </si>
  <si>
    <r>
      <rPr>
        <b/>
        <sz val="11"/>
        <color rgb="FF000000"/>
        <rFont val="SimSun"/>
        <charset val="134"/>
      </rPr>
      <t>折扣总额（未税）</t>
    </r>
    <r>
      <rPr>
        <b/>
        <sz val="11"/>
        <color rgb="FF000000"/>
        <rFont val="Times New Roman"/>
        <charset val="134"/>
      </rPr>
      <t xml:space="preserve">
Tổng số tiền chiết khấu </t>
    </r>
    <r>
      <rPr>
        <b/>
        <sz val="11"/>
        <color rgb="FF000000"/>
        <rFont val="SimSun"/>
        <charset val="134"/>
      </rPr>
      <t>（</t>
    </r>
    <r>
      <rPr>
        <b/>
        <sz val="11"/>
        <color rgb="FF000000"/>
        <rFont val="Times New Roman"/>
        <charset val="134"/>
      </rPr>
      <t>Chưa thuế</t>
    </r>
    <r>
      <rPr>
        <b/>
        <sz val="11"/>
        <color rgb="FF000000"/>
        <rFont val="SimSun"/>
        <charset val="134"/>
      </rPr>
      <t>）</t>
    </r>
  </si>
  <si>
    <t>总费用折扣比例</t>
  </si>
  <si>
    <t xml:space="preserve">折扣比例超过预算比例，需特殊申请，大于19%， 大于15%，需要警示； </t>
  </si>
  <si>
    <t xml:space="preserve">总费用折扣金额，超过0.1billion vnd，或者折扣比例大于50%，需要工贸厅备案。 </t>
  </si>
  <si>
    <r>
      <rPr>
        <sz val="11"/>
        <color theme="1"/>
        <rFont val="宋体"/>
        <charset val="134"/>
      </rPr>
      <t>卖方</t>
    </r>
  </si>
  <si>
    <r>
      <rPr>
        <sz val="11"/>
        <color theme="1"/>
        <rFont val="宋体"/>
        <charset val="134"/>
      </rPr>
      <t>买方</t>
    </r>
  </si>
  <si>
    <t>双方签字盖章</t>
  </si>
  <si>
    <t>味丹折扣文件有，但仅有签字，但因为缺乏实质促销活动等支撑文件，因此只有业务负责人签字，没有公章盖章（不符合味丹财务、法务的合规要求）</t>
  </si>
  <si>
    <r>
      <rPr>
        <sz val="11"/>
        <color theme="1"/>
        <rFont val="宋体"/>
        <charset val="134"/>
      </rPr>
      <t>签字：</t>
    </r>
  </si>
  <si>
    <r>
      <rPr>
        <sz val="11"/>
        <color theme="1"/>
        <rFont val="宋体"/>
        <charset val="134"/>
      </rPr>
      <t>日期：</t>
    </r>
  </si>
  <si>
    <t>一.本文件显示表格为4份工作表，分别为：填写说明，产品订单，成交确认书、成交确认书附录。</t>
  </si>
  <si>
    <t>二.填写此表，协助业务完成线下成交确认书确认前序工作，费用管控说明，同时协助业务完成天贸系统填写。</t>
  </si>
  <si>
    <t>三.因填表需求，特在此工作表中列明填写说明。</t>
  </si>
  <si>
    <t>四.具体说明如下：</t>
  </si>
  <si>
    <t>1.产品订单说明：</t>
  </si>
  <si>
    <t>A.单元格区间 F1-G7, 分别需要确认以下信息: 柜量、订单号、订单日期、运输方式、贸易条款、目的港、交货期</t>
  </si>
  <si>
    <t>A1.柜量结合运输方式填写：</t>
  </si>
  <si>
    <t>"海运，请选择1*20尺货柜，或2*20尺货柜，或1*40尺货柜，或2*40尺货柜等","铁路运输，请选择1*26吨'或2*26吨'或1*31吨'或2*31吨’等","汽运请选择1*32吨汽车或2*32吨汽车",RDC仓交货</t>
  </si>
  <si>
    <t>A2.订单号，即成交确认书的号码， 和天贸的销售订单号保持一致。</t>
  </si>
  <si>
    <t>A3.订单日期，即成交确认书签署日期。</t>
  </si>
  <si>
    <t>A4.贸易条款： 如涉及港口直发，选择CFR; 如果涉及RDC仓，选择DAP。</t>
  </si>
  <si>
    <t>A5.目的港：涉及港口直发条件下，客户所在区域最近的港口。同时也结合运输方式。</t>
  </si>
  <si>
    <t>A6.交货期：根据需求填写。</t>
  </si>
  <si>
    <t>B.单元格区间J1-H6, 为客户基本信息，包含但不限于：客户名称、地址、客户编号、仓库地址、支付方式等。</t>
  </si>
  <si>
    <t>B1.通过单元格K1下拉选项，选择客户名称，固定的客户信息自动变化。</t>
  </si>
  <si>
    <t>B2.非固定信息：</t>
  </si>
  <si>
    <t>仓库地址-单元格W2,需要手动选择，因为可能涉及一个客户，多个收货地址。确认地址后，仓库联系人、联系方式自行变化。</t>
  </si>
  <si>
    <t>支付条款-单元格W5，因涉及港口直发、RDC发货，付款条款有差异。需销售同时根据实际情况选择。关于RDC仓发货要求暂定：收款后7个工作日内发货。</t>
  </si>
  <si>
    <t>C.单元格区间A10-AL127，为海天越南当前可以进口/销售的产品信息，包括担不限于：物料编码，中英越三语品名，未税一级经销商价格，产品数量、赠品数量、买赠金额、满柜系数等</t>
  </si>
  <si>
    <t>C1.单元格L12-L126填写产品数量（非赠品），单元格M12-M126填写赠品数量，单元格N12-N126为含赠品的产品总数量</t>
  </si>
  <si>
    <t>C2.单元格L127,M127,N127分别显示订单：产品总数量（非赠品），赠品总数量，含赠品的产品总数量</t>
  </si>
  <si>
    <t>C3.单元格P127,Q127,R127分别显示未税的产品金额，赠品金额，含赠品的产品金额；单元格T127,U127,V127分别显示含税的产品金额，赠品金额，含赠品的产品金额。</t>
  </si>
  <si>
    <t>C4.单元格AI127,AK127,分别显示20尺货柜，40尺货柜的满柜系数</t>
  </si>
  <si>
    <t>C5.单元格A129-G140, 分别列示，订单确认需下单物料编码，含赠品的产品数量，赠品数量。便于批量复制到天贸系统。</t>
  </si>
  <si>
    <t>2.成交确认书-附录说明</t>
  </si>
  <si>
    <t>成交确认书-附录用于说明折扣细节、费用管控说明</t>
  </si>
  <si>
    <t>A.产品订单中单元格G2订单号、G3订单日期，同步至附录中的订单号、日期。</t>
  </si>
  <si>
    <t>B.产品订单中单元格区间J1-H6,同步至附录中的买方信息。</t>
  </si>
  <si>
    <t>C.常规折扣为：产品订单中Q127,未税的赠品金额. 说明处：列示当月折扣政策编号；基础内容；</t>
  </si>
  <si>
    <t>D.市场补助: 根据实际补助金额填写。说明处:填写具体补助内容，包含但不限于原因、数量、金额。</t>
  </si>
  <si>
    <t>E.联盟商奖励：根据实际金额填写。说明处：列示计算逻辑：10000*箱数量，如有，列示：二批客户数量或名称。</t>
  </si>
  <si>
    <t>F.折扣总额未税：折扣合计金额，不含税。</t>
  </si>
  <si>
    <t>G.J列为含税金额，便于天贸系统上折扣数据复制填写。</t>
  </si>
  <si>
    <t>H.单元格J57列示总折扣比例</t>
  </si>
  <si>
    <t>I.单元格J58列示订单折扣比例警示的结果。</t>
  </si>
  <si>
    <t>J.单元格J59列示折扣比例/折扣金额是否达到工贸厅备案标准的判断结果</t>
  </si>
  <si>
    <t>3.成交确认书</t>
  </si>
  <si>
    <t>A.产品订单中单元格G2订单号、G3订单日期，同步至成交确认书中的订单号、日期。</t>
  </si>
  <si>
    <t>B.产品订单中单元格区间J1-H6,同步至成交确认书中的买方信息。</t>
  </si>
  <si>
    <t>C.商品信息产品品名、单价、数量、金额等，根据产品订单中单元格区间A10-AL127数据，自行获取更新至成交确认书中。</t>
  </si>
  <si>
    <t>D.商品信息中(7) 折扣 (Chiết khấu):为"成交确认书-附录"中折扣总额（未税）,单元格F7。</t>
  </si>
  <si>
    <t>E.运输与交付、支付方式通过产品订单中“单元格区间J1-H6”数据，自行获取更新至成交确认书中。</t>
  </si>
  <si>
    <t>4.成交确认书、成交确认书-附录均需买卖双方签字盖章。</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</si>
</sst>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 numFmtId="177" formatCode="&quot; ngày &quot;d&quot; tháng &quot;\ m&quot; năm &quot;yyyy"/>
    <numFmt numFmtId="178" formatCode="0.0000"/>
    <numFmt numFmtId="179" formatCode="[$-409]mmm\ dd\,\ yyyy;@"/>
    <numFmt numFmtId="180" formatCode="0.00_ "/>
    <numFmt numFmtId="181" formatCode="0.00000%"/>
    <numFmt numFmtId="182" formatCode="0.0_ "/>
    <numFmt numFmtId="183" formatCode="yyyy\.mm\.dd"/>
    <numFmt numFmtId="184" formatCode="000000000000"/>
    <numFmt numFmtId="185" formatCode="0.000"/>
    <numFmt numFmtId="186" formatCode="0.000000E+00"/>
  </numFmts>
  <fonts count="129">
    <font>
      <sz val="11"/>
      <color theme="1"/>
      <name val="宋体"/>
      <charset val="134"/>
      <scheme val="minor"/>
    </font>
    <font>
      <b/>
      <sz val="11"/>
      <color rgb="FFFF0000"/>
      <name val="宋体"/>
      <charset val="134"/>
      <scheme val="minor"/>
    </font>
    <font>
      <b/>
      <sz val="11"/>
      <color theme="1"/>
      <name val="宋体"/>
      <charset val="134"/>
      <scheme val="minor"/>
    </font>
    <font>
      <sz val="11"/>
      <color rgb="FFFF0000"/>
      <name val="宋体"/>
      <charset val="134"/>
      <scheme val="minor"/>
    </font>
    <font>
      <sz val="11"/>
      <color theme="1"/>
      <name val="Times New Roman"/>
      <charset val="134"/>
    </font>
    <font>
      <b/>
      <sz val="14"/>
      <color rgb="FF000000"/>
      <name val="宋体"/>
      <charset val="134"/>
    </font>
    <font>
      <b/>
      <sz val="14"/>
      <color rgb="FF000000"/>
      <name val="Times New Roman"/>
      <charset val="134"/>
    </font>
    <font>
      <sz val="11"/>
      <color rgb="FF000000"/>
      <name val="Times New Roman"/>
      <charset val="134"/>
    </font>
    <font>
      <sz val="11"/>
      <color theme="1"/>
      <name val="宋体"/>
      <charset val="134"/>
    </font>
    <font>
      <b/>
      <sz val="11"/>
      <color theme="1"/>
      <name val="Times New Roman"/>
      <charset val="134"/>
    </font>
    <font>
      <b/>
      <sz val="11"/>
      <color rgb="FF000000"/>
      <name val="宋体"/>
      <charset val="134"/>
    </font>
    <font>
      <b/>
      <sz val="11"/>
      <color theme="1"/>
      <name val="宋体"/>
      <charset val="134"/>
    </font>
    <font>
      <sz val="11"/>
      <color theme="1"/>
      <name val="SimSun"/>
      <charset val="134"/>
    </font>
    <font>
      <b/>
      <sz val="11"/>
      <color rgb="FF000000"/>
      <name val="SimSun"/>
      <charset val="134"/>
    </font>
    <font>
      <b/>
      <sz val="11"/>
      <color rgb="FF000000"/>
      <name val="Times New Roman"/>
      <charset val="134"/>
    </font>
    <font>
      <b/>
      <sz val="11"/>
      <color theme="1"/>
      <name val="SimSun"/>
      <charset val="134"/>
    </font>
    <font>
      <sz val="11"/>
      <color rgb="FF000000"/>
      <name val="宋体"/>
      <charset val="134"/>
    </font>
    <font>
      <sz val="11"/>
      <color rgb="FF606266"/>
      <name val="Times New Roman"/>
      <charset val="134"/>
    </font>
    <font>
      <sz val="11"/>
      <color rgb="FF000000"/>
      <name val="SimSun"/>
      <charset val="134"/>
    </font>
    <font>
      <sz val="10"/>
      <color rgb="FFFF0000"/>
      <name val="宋体"/>
      <charset val="134"/>
    </font>
    <font>
      <i/>
      <sz val="11"/>
      <color rgb="FF555555"/>
      <name val="Times New Roman"/>
      <charset val="134"/>
    </font>
    <font>
      <sz val="11"/>
      <name val="Times New Roman"/>
      <charset val="134"/>
    </font>
    <font>
      <sz val="10"/>
      <color theme="1"/>
      <name val="Arial Unicode MS"/>
      <charset val="134"/>
    </font>
    <font>
      <sz val="11"/>
      <color rgb="FF0066FF"/>
      <name val="Arial Unicode MS"/>
      <charset val="134"/>
    </font>
    <font>
      <sz val="11"/>
      <name val="SimSun-ExtB"/>
      <charset val="134"/>
    </font>
    <font>
      <b/>
      <sz val="11"/>
      <color rgb="FFFF0000"/>
      <name val="SimSun"/>
      <charset val="134"/>
    </font>
    <font>
      <sz val="11"/>
      <color rgb="FFFF0000"/>
      <name val="SimSun"/>
      <charset val="134"/>
    </font>
    <font>
      <b/>
      <sz val="15"/>
      <name val="Times New Roman"/>
      <charset val="134"/>
    </font>
    <font>
      <sz val="10"/>
      <color theme="1"/>
      <name val="宋体"/>
      <charset val="134"/>
      <scheme val="minor"/>
    </font>
    <font>
      <sz val="10"/>
      <color theme="1"/>
      <name val="等线"/>
      <charset val="134"/>
    </font>
    <font>
      <sz val="10"/>
      <color theme="1"/>
      <name val="Arial Narrow"/>
      <charset val="134"/>
    </font>
    <font>
      <sz val="10"/>
      <color rgb="FF0066FF"/>
      <name val="Arial Narrow"/>
      <charset val="134"/>
    </font>
    <font>
      <sz val="10"/>
      <color theme="1"/>
      <name val="宋体"/>
      <charset val="134"/>
      <scheme val="major"/>
    </font>
    <font>
      <sz val="10"/>
      <color theme="1"/>
      <name val="Times New Roman"/>
      <charset val="134"/>
    </font>
    <font>
      <b/>
      <sz val="10"/>
      <color theme="1"/>
      <name val="Times New Roman"/>
      <charset val="134"/>
    </font>
    <font>
      <sz val="10"/>
      <name val="Times New Roman"/>
      <charset val="134"/>
    </font>
    <font>
      <b/>
      <sz val="10"/>
      <color rgb="FFFF0000"/>
      <name val="SimSun"/>
      <charset val="134"/>
    </font>
    <font>
      <b/>
      <sz val="10"/>
      <name val="Times New Roman"/>
      <charset val="134"/>
    </font>
    <font>
      <b/>
      <sz val="10"/>
      <color rgb="FFFF0000"/>
      <name val="Times New Roman"/>
      <charset val="134"/>
    </font>
    <font>
      <b/>
      <sz val="10"/>
      <name val="等线"/>
      <charset val="134"/>
    </font>
    <font>
      <b/>
      <sz val="10"/>
      <color theme="1"/>
      <name val="SimSun"/>
      <charset val="134"/>
    </font>
    <font>
      <b/>
      <sz val="10"/>
      <color theme="1"/>
      <name val="等线"/>
      <charset val="134"/>
    </font>
    <font>
      <sz val="10"/>
      <color rgb="FFFF0000"/>
      <name val="Times New Roman"/>
      <charset val="134"/>
    </font>
    <font>
      <sz val="10"/>
      <name val="宋体"/>
      <charset val="134"/>
    </font>
    <font>
      <sz val="10"/>
      <name val="SimSun"/>
      <charset val="134"/>
    </font>
    <font>
      <b/>
      <sz val="10"/>
      <name val="SimSun"/>
      <charset val="134"/>
    </font>
    <font>
      <sz val="10"/>
      <color theme="1"/>
      <name val="SimSun"/>
      <charset val="134"/>
    </font>
    <font>
      <sz val="10"/>
      <color rgb="FF0066FF"/>
      <name val="Times New Roman"/>
      <charset val="134"/>
    </font>
    <font>
      <b/>
      <sz val="11"/>
      <name val="Times New Roman"/>
      <charset val="134"/>
    </font>
    <font>
      <sz val="10"/>
      <color theme="0"/>
      <name val="Times New Roman"/>
      <charset val="134"/>
    </font>
    <font>
      <sz val="10"/>
      <color theme="1"/>
      <name val="宋体"/>
      <charset val="134"/>
    </font>
    <font>
      <sz val="10"/>
      <color theme="1" tint="0.499985"/>
      <name val="Times New Roman"/>
      <charset val="134"/>
    </font>
    <font>
      <sz val="9"/>
      <color rgb="FF000000"/>
      <name val="Times New Roman"/>
      <charset val="134"/>
    </font>
    <font>
      <sz val="9"/>
      <color rgb="FF000000"/>
      <name val="Segoe UI"/>
      <charset val="134"/>
    </font>
    <font>
      <sz val="11"/>
      <color rgb="FFFF0000"/>
      <name val="Times New Roman"/>
      <charset val="134"/>
    </font>
    <font>
      <sz val="10"/>
      <color rgb="FF0066FF"/>
      <name val="等线"/>
      <charset val="134"/>
    </font>
    <font>
      <sz val="10"/>
      <name val="Arial Narrow"/>
      <charset val="134"/>
    </font>
    <font>
      <b/>
      <sz val="10"/>
      <color rgb="FF000000"/>
      <name val="Times New Roman"/>
      <charset val="134"/>
    </font>
    <font>
      <sz val="10"/>
      <color rgb="FF000000"/>
      <name val="宋体"/>
      <charset val="134"/>
    </font>
    <font>
      <sz val="10"/>
      <color rgb="FF000000"/>
      <name val="Times New Roman"/>
      <charset val="134"/>
    </font>
    <font>
      <sz val="12.75"/>
      <color rgb="FF1F1F1F"/>
      <name val="Times New Roman"/>
      <charset val="134"/>
    </font>
    <font>
      <b/>
      <sz val="13"/>
      <color theme="3"/>
      <name val="Times New Roman"/>
      <charset val="134"/>
    </font>
    <font>
      <b/>
      <sz val="12"/>
      <color rgb="FF3F3F76"/>
      <name val="Times New Roman"/>
      <charset val="134"/>
    </font>
    <font>
      <sz val="11"/>
      <color rgb="FFFA7D00"/>
      <name val="Times New Roman"/>
      <charset val="134"/>
    </font>
    <font>
      <sz val="11"/>
      <color theme="0"/>
      <name val="Times New Roman"/>
      <charset val="134"/>
    </font>
    <font>
      <b/>
      <sz val="13"/>
      <color theme="0"/>
      <name val="Times New Roman"/>
      <charset val="134"/>
    </font>
    <font>
      <i/>
      <sz val="13"/>
      <color theme="0"/>
      <name val="Times New Roman"/>
      <charset val="134"/>
    </font>
    <font>
      <b/>
      <sz val="11"/>
      <color theme="1"/>
      <name val="等线"/>
      <charset val="134"/>
    </font>
    <font>
      <sz val="11"/>
      <color theme="1"/>
      <name val="等线"/>
      <charset val="134"/>
    </font>
    <font>
      <b/>
      <sz val="16"/>
      <name val="等线"/>
      <charset val="134"/>
    </font>
    <font>
      <b/>
      <sz val="11"/>
      <color rgb="FFFF0000"/>
      <name val="等线"/>
      <charset val="134"/>
    </font>
    <font>
      <sz val="11"/>
      <name val="宋体"/>
      <charset val="134"/>
    </font>
    <font>
      <sz val="11"/>
      <color rgb="FF333E48"/>
      <name val="Times New Roman"/>
      <charset val="134"/>
    </font>
    <font>
      <b/>
      <sz val="11"/>
      <color rgb="FF212529"/>
      <name val="Times New Roman"/>
      <charset val="134"/>
    </font>
    <font>
      <sz val="11"/>
      <color rgb="FF000000"/>
      <name val="宋体"/>
      <charset val="134"/>
      <scheme val="minor"/>
    </font>
    <font>
      <sz val="11"/>
      <color rgb="FF212529"/>
      <name val="Times New Roman"/>
      <charset val="134"/>
    </font>
    <font>
      <sz val="9"/>
      <color rgb="FF606266"/>
      <name val="Helvetica"/>
      <charset val="134"/>
    </font>
    <font>
      <sz val="11"/>
      <color theme="1"/>
      <name val="Arial"/>
      <charset val="134"/>
    </font>
    <font>
      <u/>
      <sz val="11"/>
      <color rgb="FF175CEB"/>
      <name val="Times New Roman"/>
      <charset val="134"/>
    </font>
    <font>
      <u/>
      <sz val="11"/>
      <color rgb="FF0000FF"/>
      <name val="Times New Roman"/>
      <charset val="134"/>
    </font>
    <font>
      <u/>
      <sz val="11"/>
      <color rgb="FF0000FF"/>
      <name val="宋体"/>
      <charset val="134"/>
      <scheme val="minor"/>
    </font>
    <font>
      <u/>
      <sz val="11"/>
      <color rgb="FF800080"/>
      <name val="宋体"/>
      <charset val="0"/>
      <scheme val="minor"/>
    </font>
    <font>
      <i/>
      <sz val="11"/>
      <color rgb="FF000000"/>
      <name val="宋体"/>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A7D00"/>
      <name val="Times New Roman"/>
      <charset val="134"/>
    </font>
    <font>
      <sz val="11"/>
      <color rgb="FF3F3F76"/>
      <name val="Times New Roman"/>
      <charset val="134"/>
    </font>
    <font>
      <sz val="10"/>
      <name val="Arial"/>
      <charset val="134"/>
    </font>
    <font>
      <sz val="10"/>
      <name val=".VnArial"/>
      <charset val="134"/>
    </font>
    <font>
      <sz val="10"/>
      <name val="VNI-Times"/>
      <charset val="134"/>
    </font>
    <font>
      <sz val="12"/>
      <name val="宋体"/>
      <charset val="134"/>
    </font>
    <font>
      <b/>
      <sz val="10"/>
      <color rgb="FFFF0000"/>
      <name val="等线"/>
      <charset val="134"/>
    </font>
    <font>
      <b/>
      <sz val="10"/>
      <color rgb="FFFF0000"/>
      <name val="Arial Narrow"/>
      <charset val="134"/>
    </font>
    <font>
      <sz val="10"/>
      <color theme="0"/>
      <name val="宋体"/>
      <charset val="134"/>
    </font>
    <font>
      <sz val="12.75"/>
      <color rgb="FF1F1F1F"/>
      <name val="宋体"/>
      <charset val="134"/>
    </font>
    <font>
      <i/>
      <sz val="11"/>
      <color rgb="FF000000"/>
      <name val="Times New Roman"/>
      <charset val="134"/>
    </font>
    <font>
      <b/>
      <vertAlign val="superscript"/>
      <sz val="11"/>
      <color theme="1"/>
      <name val="等线"/>
      <charset val="134"/>
    </font>
    <font>
      <sz val="9"/>
      <color rgb="FF606266"/>
      <name val="SimSun"/>
      <charset val="134"/>
    </font>
    <font>
      <sz val="10"/>
      <color rgb="FFFF0000"/>
      <name val="SimSun"/>
      <charset val="134"/>
    </font>
    <font>
      <sz val="10"/>
      <name val="微软雅黑"/>
      <charset val="134"/>
    </font>
    <font>
      <sz val="11"/>
      <color rgb="FF000000"/>
      <name val="Calibri"/>
      <charset val="134"/>
    </font>
    <font>
      <sz val="10"/>
      <color rgb="FFFF0000"/>
      <name val="等线"/>
      <charset val="134"/>
    </font>
    <font>
      <sz val="11"/>
      <name val="等线"/>
      <charset val="134"/>
    </font>
    <font>
      <b/>
      <sz val="10"/>
      <color rgb="FF000000"/>
      <name val="宋体"/>
      <charset val="134"/>
    </font>
    <font>
      <sz val="11"/>
      <color rgb="FF000000"/>
      <name val="Arial"/>
      <charset val="134"/>
    </font>
    <font>
      <sz val="15"/>
      <color rgb="FF000000"/>
      <name val="宋体"/>
      <charset val="134"/>
    </font>
    <font>
      <b/>
      <sz val="11"/>
      <name val="等线"/>
      <charset val="134"/>
    </font>
    <font>
      <b/>
      <sz val="11"/>
      <color rgb="FF1F1F1F"/>
      <name val="Times New Roman"/>
      <charset val="134"/>
    </font>
    <font>
      <b/>
      <sz val="11"/>
      <color rgb="FF1F1F1F"/>
      <name val="宋体"/>
      <charset val="134"/>
    </font>
    <font>
      <b/>
      <sz val="9"/>
      <name val="Tahoma"/>
      <charset val="134"/>
    </font>
    <font>
      <sz val="9"/>
      <name val="Tahoma"/>
      <charset val="134"/>
    </font>
    <font>
      <b/>
      <sz val="9"/>
      <name val="宋体"/>
      <charset val="134"/>
    </font>
    <font>
      <sz val="9"/>
      <name val="宋体"/>
      <charset val="134"/>
    </font>
  </fonts>
  <fills count="4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2F2F2"/>
        <bgColor indexed="64"/>
      </patternFill>
    </fill>
    <fill>
      <patternFill patternType="solid">
        <fgColor rgb="FFFFFF99"/>
        <bgColor indexed="64"/>
      </patternFill>
    </fill>
    <fill>
      <patternFill patternType="solid">
        <fgColor theme="3" tint="0.799738"/>
        <bgColor indexed="64"/>
      </patternFill>
    </fill>
    <fill>
      <patternFill patternType="solid">
        <fgColor rgb="FFFFFFCC"/>
        <bgColor indexed="64"/>
      </patternFill>
    </fill>
    <fill>
      <patternFill patternType="solid">
        <fgColor indexed="65"/>
        <bgColor indexed="64"/>
      </patternFill>
    </fill>
    <fill>
      <patternFill patternType="solid">
        <fgColor rgb="FFFFCC99"/>
        <bgColor indexed="64"/>
      </patternFill>
    </fill>
    <fill>
      <patternFill patternType="solid">
        <fgColor theme="6" tint="0.799829"/>
        <bgColor indexed="64"/>
      </patternFill>
    </fill>
    <fill>
      <patternFill patternType="solid">
        <fgColor theme="7" tint="0.799829"/>
        <bgColor indexed="64"/>
      </patternFill>
    </fill>
    <fill>
      <patternFill patternType="solid">
        <fgColor theme="8" tint="0.799829"/>
        <bgColor indexed="64"/>
      </patternFill>
    </fill>
    <fill>
      <patternFill patternType="solid">
        <fgColor theme="8" tint="0.599994"/>
        <bgColor indexed="64"/>
      </patternFill>
    </fill>
    <fill>
      <patternFill patternType="solid">
        <fgColor theme="8" tint="0.399823"/>
        <bgColor indexed="64"/>
      </patternFill>
    </fill>
    <fill>
      <patternFill patternType="solid">
        <fgColor theme="8" tint="-0.249977"/>
        <bgColor indexed="64"/>
      </patternFill>
    </fill>
    <fill>
      <patternFill patternType="solid">
        <fgColor theme="8" tint="-0.499985"/>
        <bgColor indexed="64"/>
      </patternFill>
    </fill>
    <fill>
      <patternFill patternType="solid">
        <fgColor theme="9" tint="0.79982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82">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bottom style="thin">
        <color rgb="FFDFE6EC"/>
      </bottom>
      <diagonal/>
    </border>
    <border>
      <left style="thin">
        <color auto="1"/>
      </left>
      <right style="thin">
        <color rgb="FFDEE0E3"/>
      </right>
      <top style="thin">
        <color auto="1"/>
      </top>
      <bottom style="thin">
        <color auto="1"/>
      </bottom>
      <diagonal/>
    </border>
    <border>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rgb="FFDEE0E3"/>
      </bottom>
      <diagonal/>
    </border>
    <border>
      <left/>
      <right/>
      <top style="thin">
        <color rgb="FFDEE0E3"/>
      </top>
      <bottom style="thin">
        <color rgb="FFDEE0E3"/>
      </bottom>
      <diagonal/>
    </border>
    <border>
      <left style="thin">
        <color rgb="FFDEE0E3"/>
      </left>
      <right style="thin">
        <color rgb="FFDEE0E3"/>
      </right>
      <top style="thin">
        <color rgb="FFDEE0E3"/>
      </top>
      <bottom/>
      <diagonal/>
    </border>
    <border>
      <left style="medium">
        <color auto="1"/>
      </left>
      <right style="thin">
        <color auto="1"/>
      </right>
      <top style="medium">
        <color auto="1"/>
      </top>
      <bottom/>
      <diagonal/>
    </border>
    <border>
      <left/>
      <right style="thin">
        <color auto="1"/>
      </right>
      <top/>
      <bottom/>
      <diagonal/>
    </border>
    <border>
      <left style="medium">
        <color auto="1"/>
      </left>
      <right style="thin">
        <color auto="1"/>
      </right>
      <top/>
      <bottom/>
      <diagonal/>
    </border>
    <border>
      <left style="thin">
        <color auto="1"/>
      </left>
      <right style="thin">
        <color auto="1"/>
      </right>
      <top style="thin">
        <color indexed="0"/>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right style="thin">
        <color auto="1"/>
      </right>
      <top style="thin">
        <color auto="1"/>
      </top>
      <bottom style="thin">
        <color auto="1"/>
      </bottom>
      <diagonal/>
    </border>
    <border>
      <left/>
      <right style="medium">
        <color auto="1"/>
      </right>
      <top style="medium">
        <color auto="1"/>
      </top>
      <bottom/>
      <diagonal/>
    </border>
    <border>
      <left/>
      <right/>
      <top style="medium">
        <color auto="1"/>
      </top>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right/>
      <top style="thin">
        <color auto="1"/>
      </top>
      <bottom style="thin">
        <color auto="1"/>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diagonal/>
    </border>
    <border>
      <left style="thin">
        <color auto="1"/>
      </left>
      <right/>
      <top style="thin">
        <color auto="1"/>
      </top>
      <bottom style="thin">
        <color auto="1"/>
      </bottom>
      <diagonal/>
    </border>
    <border>
      <left style="thin">
        <color auto="1"/>
      </left>
      <right style="medium">
        <color auto="1"/>
      </right>
      <top style="thin">
        <color auto="1"/>
      </top>
      <bottom/>
      <diagonal/>
    </border>
    <border>
      <left/>
      <right style="thin">
        <color rgb="FFDFE6EC"/>
      </right>
      <top/>
      <bottom style="thin">
        <color rgb="FFDFE6EC"/>
      </bottom>
      <diagonal/>
    </border>
    <border>
      <left/>
      <right style="thin">
        <color rgb="FF000000"/>
      </right>
      <top/>
      <bottom style="thin">
        <color rgb="FF000000"/>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style="medium">
        <color auto="1"/>
      </bottom>
      <diagonal/>
    </border>
    <border>
      <left style="thin">
        <color auto="1"/>
      </left>
      <right style="thin">
        <color auto="1"/>
      </right>
      <top style="thin">
        <color rgb="FFDEE0E3"/>
      </top>
      <bottom style="thin">
        <color auto="1"/>
      </bottom>
      <diagonal/>
    </border>
    <border>
      <left style="thin">
        <color auto="1"/>
      </left>
      <right style="thin">
        <color rgb="FFDEE0E3"/>
      </right>
      <top style="thin">
        <color rgb="FFDEE0E3"/>
      </top>
      <bottom style="thin">
        <color auto="1"/>
      </bottom>
      <diagonal/>
    </border>
    <border>
      <left style="thin">
        <color auto="1"/>
      </left>
      <right style="thin">
        <color auto="1"/>
      </right>
      <top style="thin">
        <color auto="1"/>
      </top>
      <bottom style="thin">
        <color rgb="FFDEE0E3"/>
      </bottom>
      <diagonal/>
    </border>
    <border>
      <left style="thin">
        <color auto="1"/>
      </left>
      <right style="thin">
        <color rgb="FFDEE0E3"/>
      </right>
      <top style="thin">
        <color auto="1"/>
      </top>
      <bottom style="thin">
        <color rgb="FFDEE0E3"/>
      </bottom>
      <diagonal/>
    </border>
    <border>
      <left/>
      <right/>
      <top/>
      <bottom style="thick">
        <color theme="4" tint="0.499985"/>
      </bottom>
      <diagonal/>
    </border>
    <border>
      <left style="thin">
        <color rgb="FF7F7F7F"/>
      </left>
      <right style="thin">
        <color rgb="FF7F7F7F"/>
      </right>
      <top style="thin">
        <color rgb="FF7F7F7F"/>
      </top>
      <bottom style="thin">
        <color rgb="FF7F7F7F"/>
      </bottom>
      <diagonal/>
    </border>
    <border>
      <left style="thin">
        <color theme="4" tint="0.499985"/>
      </left>
      <right/>
      <top style="thin">
        <color theme="4" tint="0.499985"/>
      </top>
      <bottom/>
      <diagonal/>
    </border>
    <border>
      <left/>
      <right/>
      <top style="thin">
        <color theme="4" tint="0.499985"/>
      </top>
      <bottom/>
      <diagonal/>
    </border>
    <border>
      <left style="thin">
        <color theme="4" tint="0.499985"/>
      </left>
      <right/>
      <top/>
      <bottom/>
      <diagonal/>
    </border>
    <border>
      <left style="thin">
        <color rgb="FFB2B2B2"/>
      </left>
      <right style="thin">
        <color rgb="FFB2B2B2"/>
      </right>
      <top style="thin">
        <color rgb="FFB2B2B2"/>
      </top>
      <bottom style="thin">
        <color rgb="FFB2B2B2"/>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diagonal/>
    </border>
    <border>
      <left style="thin">
        <color theme="8" tint="-0.249947"/>
      </left>
      <right/>
      <top style="thin">
        <color theme="8" tint="-0.249947"/>
      </top>
      <bottom style="thin">
        <color theme="8" tint="-0.249947"/>
      </bottom>
      <diagonal/>
    </border>
    <border>
      <left/>
      <right/>
      <top style="thin">
        <color theme="8" tint="-0.249947"/>
      </top>
      <bottom style="thin">
        <color theme="8" tint="-0.249947"/>
      </bottom>
      <diagonal/>
    </border>
    <border>
      <left/>
      <right style="thin">
        <color theme="4" tint="0.499985"/>
      </right>
      <top style="thin">
        <color theme="4" tint="0.499985"/>
      </top>
      <bottom/>
      <diagonal/>
    </border>
    <border>
      <left/>
      <right style="thin">
        <color theme="4" tint="0.499985"/>
      </right>
      <top/>
      <bottom/>
      <diagonal/>
    </border>
    <border>
      <left/>
      <right style="thin">
        <color rgb="FF7F7F7F"/>
      </right>
      <top style="thin">
        <color rgb="FF7F7F7F"/>
      </top>
      <bottom style="thin">
        <color rgb="FF7F7F7F"/>
      </bottom>
      <diagonal/>
    </border>
    <border>
      <left/>
      <right style="thin">
        <color rgb="FF7F7F7F"/>
      </right>
      <top/>
      <bottom/>
      <diagonal/>
    </border>
    <border>
      <left/>
      <right style="thin">
        <color theme="8" tint="-0.249947"/>
      </right>
      <top style="thin">
        <color theme="8" tint="-0.249947"/>
      </top>
      <bottom style="thin">
        <color theme="8" tint="-0.249947"/>
      </bottom>
      <diagonal/>
    </border>
    <border>
      <left/>
      <right/>
      <top style="thin">
        <color rgb="FFECEEEF"/>
      </top>
      <bottom/>
      <diagonal/>
    </border>
    <border>
      <left/>
      <right/>
      <top/>
      <bottom style="medium">
        <color rgb="FFDFE6EC"/>
      </bottom>
      <diagonal/>
    </border>
    <border>
      <left style="medium">
        <color rgb="FFC4C7C5"/>
      </left>
      <right style="medium">
        <color rgb="FFC4C7C5"/>
      </right>
      <top style="medium">
        <color rgb="FFC4C7C5"/>
      </top>
      <bottom style="medium">
        <color rgb="FFC4C7C5"/>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rgb="FFE0E0E0"/>
      </top>
      <bottom/>
      <diagonal/>
    </border>
    <border>
      <left/>
      <right/>
      <top style="medium">
        <color rgb="FFE0E0E0"/>
      </top>
      <bottom/>
      <diagonal/>
    </border>
    <border>
      <left/>
      <right/>
      <top/>
      <bottom style="medium">
        <color theme="4"/>
      </bottom>
      <diagonal/>
    </border>
    <border>
      <left/>
      <right/>
      <top/>
      <bottom style="medium">
        <color theme="4" tint="0.499985"/>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3"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0" fillId="7" borderId="59" applyNumberFormat="0" applyFont="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0" borderId="76" applyNumberFormat="0" applyFill="0" applyAlignment="0" applyProtection="0">
      <alignment vertical="center"/>
    </xf>
    <xf numFmtId="0" fontId="88" fillId="0" borderId="76" applyNumberFormat="0" applyFill="0" applyAlignment="0" applyProtection="0">
      <alignment vertical="center"/>
    </xf>
    <xf numFmtId="0" fontId="89" fillId="0" borderId="77" applyNumberFormat="0" applyFill="0" applyAlignment="0" applyProtection="0">
      <alignment vertical="center"/>
    </xf>
    <xf numFmtId="0" fontId="89" fillId="0" borderId="0" applyNumberFormat="0" applyFill="0" applyBorder="0" applyAlignment="0" applyProtection="0">
      <alignment vertical="center"/>
    </xf>
    <xf numFmtId="0" fontId="90" fillId="9" borderId="55" applyNumberFormat="0" applyAlignment="0" applyProtection="0">
      <alignment vertical="center"/>
    </xf>
    <xf numFmtId="0" fontId="91" fillId="4" borderId="78" applyNumberFormat="0" applyAlignment="0" applyProtection="0">
      <alignment vertical="center"/>
    </xf>
    <xf numFmtId="0" fontId="92" fillId="4" borderId="55" applyNumberFormat="0" applyAlignment="0" applyProtection="0">
      <alignment vertical="center"/>
    </xf>
    <xf numFmtId="0" fontId="93" fillId="18" borderId="79" applyNumberFormat="0" applyAlignment="0" applyProtection="0">
      <alignment vertical="center"/>
    </xf>
    <xf numFmtId="0" fontId="94" fillId="0" borderId="80" applyNumberFormat="0" applyFill="0" applyAlignment="0" applyProtection="0">
      <alignment vertical="center"/>
    </xf>
    <xf numFmtId="0" fontId="95" fillId="0" borderId="81" applyNumberFormat="0" applyFill="0" applyAlignment="0" applyProtection="0">
      <alignment vertical="center"/>
    </xf>
    <xf numFmtId="0" fontId="96" fillId="19" borderId="0" applyNumberFormat="0" applyBorder="0" applyAlignment="0" applyProtection="0">
      <alignment vertical="center"/>
    </xf>
    <xf numFmtId="0" fontId="97" fillId="20" borderId="0" applyNumberFormat="0" applyBorder="0" applyAlignment="0" applyProtection="0">
      <alignment vertical="center"/>
    </xf>
    <xf numFmtId="0" fontId="98" fillId="21" borderId="0" applyNumberFormat="0" applyBorder="0" applyAlignment="0" applyProtection="0">
      <alignment vertical="center"/>
    </xf>
    <xf numFmtId="0" fontId="99" fillId="22"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99" fillId="25" borderId="0" applyNumberFormat="0" applyBorder="0" applyAlignment="0" applyProtection="0">
      <alignment vertical="center"/>
    </xf>
    <xf numFmtId="0" fontId="99" fillId="26"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99" fillId="29" borderId="0" applyNumberFormat="0" applyBorder="0" applyAlignment="0" applyProtection="0">
      <alignment vertical="center"/>
    </xf>
    <xf numFmtId="0" fontId="99" fillId="30"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33" borderId="0" applyNumberFormat="0" applyBorder="0" applyAlignment="0" applyProtection="0">
      <alignment vertical="center"/>
    </xf>
    <xf numFmtId="0" fontId="99" fillId="34" borderId="0" applyNumberFormat="0" applyBorder="0" applyAlignment="0" applyProtection="0">
      <alignment vertical="center"/>
    </xf>
    <xf numFmtId="0" fontId="100" fillId="35" borderId="0" applyNumberFormat="0" applyBorder="0" applyAlignment="0" applyProtection="0">
      <alignment vertical="center"/>
    </xf>
    <xf numFmtId="0" fontId="100" fillId="36" borderId="0" applyNumberFormat="0" applyBorder="0" applyAlignment="0" applyProtection="0">
      <alignment vertical="center"/>
    </xf>
    <xf numFmtId="0" fontId="99" fillId="37" borderId="0" applyNumberFormat="0" applyBorder="0" applyAlignment="0" applyProtection="0">
      <alignment vertical="center"/>
    </xf>
    <xf numFmtId="0" fontId="99" fillId="38" borderId="0" applyNumberFormat="0" applyBorder="0" applyAlignment="0" applyProtection="0">
      <alignment vertical="center"/>
    </xf>
    <xf numFmtId="0" fontId="100" fillId="39" borderId="0" applyNumberFormat="0" applyBorder="0" applyAlignment="0" applyProtection="0">
      <alignment vertical="center"/>
    </xf>
    <xf numFmtId="0" fontId="100" fillId="13" borderId="0" applyNumberFormat="0" applyBorder="0" applyAlignment="0" applyProtection="0">
      <alignment vertical="center"/>
    </xf>
    <xf numFmtId="0" fontId="99" fillId="40" borderId="0" applyNumberFormat="0" applyBorder="0" applyAlignment="0" applyProtection="0">
      <alignment vertical="center"/>
    </xf>
    <xf numFmtId="0" fontId="99" fillId="41" borderId="0" applyNumberFormat="0" applyBorder="0" applyAlignment="0" applyProtection="0">
      <alignment vertical="center"/>
    </xf>
    <xf numFmtId="0" fontId="100" fillId="42" borderId="0" applyNumberFormat="0" applyBorder="0" applyAlignment="0" applyProtection="0">
      <alignment vertical="center"/>
    </xf>
    <xf numFmtId="0" fontId="100" fillId="43" borderId="0" applyNumberFormat="0" applyBorder="0" applyAlignment="0" applyProtection="0">
      <alignment vertical="center"/>
    </xf>
    <xf numFmtId="0" fontId="99" fillId="44" borderId="0" applyNumberFormat="0" applyBorder="0" applyAlignment="0" applyProtection="0">
      <alignment vertical="center"/>
    </xf>
    <xf numFmtId="43" fontId="0" fillId="0" borderId="0" applyFont="0" applyFill="0" applyBorder="0" applyAlignment="0" applyProtection="0">
      <alignment vertical="center"/>
    </xf>
    <xf numFmtId="0" fontId="101" fillId="4" borderId="55" applyNumberFormat="0" applyAlignment="0" applyProtection="0"/>
    <xf numFmtId="0" fontId="61" fillId="0" borderId="54" applyNumberFormat="0" applyFill="0" applyAlignment="0" applyProtection="0"/>
    <xf numFmtId="0" fontId="102" fillId="9" borderId="55" applyNumberFormat="0" applyAlignment="0" applyProtection="0"/>
    <xf numFmtId="0" fontId="103" fillId="0" borderId="0"/>
    <xf numFmtId="0" fontId="4" fillId="0" borderId="0"/>
    <xf numFmtId="0" fontId="104" fillId="0" borderId="0"/>
    <xf numFmtId="0" fontId="105" fillId="0" borderId="0"/>
    <xf numFmtId="0" fontId="4" fillId="7" borderId="59" applyNumberFormat="0" applyFont="0" applyAlignment="0" applyProtection="0"/>
    <xf numFmtId="0" fontId="0" fillId="0" borderId="0"/>
    <xf numFmtId="0" fontId="0" fillId="0" borderId="0">
      <alignment vertical="center"/>
    </xf>
    <xf numFmtId="0" fontId="0" fillId="0" borderId="0">
      <alignment vertical="center"/>
    </xf>
    <xf numFmtId="0" fontId="0" fillId="0" borderId="0">
      <alignment vertical="center"/>
    </xf>
    <xf numFmtId="0" fontId="106" fillId="0" borderId="0"/>
    <xf numFmtId="9" fontId="0" fillId="0" borderId="0" applyFont="0" applyFill="0" applyBorder="0" applyAlignment="0" applyProtection="0">
      <alignment vertical="center"/>
    </xf>
  </cellStyleXfs>
  <cellXfs count="467">
    <xf numFmtId="0" fontId="0" fillId="0" borderId="0" xfId="0">
      <alignment vertical="center"/>
    </xf>
    <xf numFmtId="0" fontId="0" fillId="0" borderId="0" xfId="0" applyAlignment="1">
      <alignment vertical="center"/>
    </xf>
    <xf numFmtId="0" fontId="1" fillId="0" borderId="0" xfId="0" applyFont="1">
      <alignment vertical="center"/>
    </xf>
    <xf numFmtId="0" fontId="2" fillId="0" borderId="0" xfId="0" applyFont="1">
      <alignment vertical="center"/>
    </xf>
    <xf numFmtId="0" fontId="0" fillId="0" borderId="0" xfId="0" applyAlignment="1">
      <alignment vertical="center" wrapText="1"/>
    </xf>
    <xf numFmtId="0" fontId="3" fillId="0" borderId="0" xfId="0" applyFont="1">
      <alignment vertical="center"/>
    </xf>
    <xf numFmtId="0" fontId="4" fillId="0" borderId="0" xfId="0" applyFont="1" applyBorder="1">
      <alignment vertical="center"/>
    </xf>
    <xf numFmtId="0" fontId="4" fillId="0" borderId="0" xfId="0" applyFont="1" applyBorder="1" applyAlignment="1">
      <alignment vertical="center"/>
    </xf>
    <xf numFmtId="0" fontId="5" fillId="2" borderId="0" xfId="0" applyFont="1" applyFill="1" applyBorder="1" applyAlignment="1">
      <alignment horizontal="center" vertical="center"/>
    </xf>
    <xf numFmtId="0" fontId="6" fillId="2" borderId="0" xfId="0" applyFont="1" applyFill="1" applyBorder="1" applyAlignment="1">
      <alignment horizontal="center" vertical="center"/>
    </xf>
    <xf numFmtId="0" fontId="7" fillId="2" borderId="0" xfId="0" applyFont="1" applyFill="1" applyBorder="1" applyAlignment="1">
      <alignment vertical="center"/>
    </xf>
    <xf numFmtId="0" fontId="7" fillId="2" borderId="0" xfId="0" applyFont="1" applyFill="1" applyBorder="1">
      <alignment vertical="center"/>
    </xf>
    <xf numFmtId="0" fontId="8" fillId="0" borderId="0" xfId="0" applyFont="1" applyBorder="1">
      <alignment vertical="center"/>
    </xf>
    <xf numFmtId="0" fontId="9" fillId="0" borderId="0" xfId="0" applyFont="1" applyBorder="1">
      <alignment vertical="center"/>
    </xf>
    <xf numFmtId="0" fontId="7" fillId="0" borderId="0" xfId="0" applyFont="1" applyBorder="1">
      <alignment vertical="center"/>
    </xf>
    <xf numFmtId="0" fontId="10"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vertical="center" wrapText="1"/>
    </xf>
    <xf numFmtId="0" fontId="4" fillId="0" borderId="5" xfId="0" applyFont="1" applyBorder="1" applyAlignment="1">
      <alignment vertical="center"/>
    </xf>
    <xf numFmtId="176" fontId="4" fillId="0" borderId="6" xfId="0" applyNumberFormat="1"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12" fillId="0" borderId="4" xfId="0" applyFont="1" applyBorder="1" applyAlignment="1">
      <alignment horizontal="left" vertical="center" wrapText="1"/>
    </xf>
    <xf numFmtId="0" fontId="9" fillId="0" borderId="3" xfId="0" applyFont="1" applyBorder="1" applyAlignment="1">
      <alignment horizontal="center" vertical="center"/>
    </xf>
    <xf numFmtId="0" fontId="13" fillId="0" borderId="4" xfId="0" applyFont="1" applyBorder="1" applyAlignment="1">
      <alignment horizontal="left" vertical="center" wrapText="1"/>
    </xf>
    <xf numFmtId="0" fontId="14" fillId="0" borderId="5" xfId="0" applyFont="1" applyBorder="1" applyAlignment="1">
      <alignment horizontal="left" vertical="center"/>
    </xf>
    <xf numFmtId="176" fontId="9" fillId="0" borderId="6" xfId="0" applyNumberFormat="1" applyFont="1" applyBorder="1" applyAlignment="1">
      <alignment horizontal="center" vertical="center"/>
    </xf>
    <xf numFmtId="0" fontId="9" fillId="0" borderId="9"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176" fontId="9" fillId="0" borderId="12" xfId="0" applyNumberFormat="1" applyFont="1" applyBorder="1" applyAlignment="1">
      <alignment horizontal="center" vertical="center"/>
    </xf>
    <xf numFmtId="0" fontId="4" fillId="0" borderId="12" xfId="0" applyFont="1" applyBorder="1" applyAlignment="1">
      <alignment horizontal="center" vertical="center"/>
    </xf>
    <xf numFmtId="0" fontId="4" fillId="0" borderId="0" xfId="0" applyFont="1">
      <alignment vertical="center"/>
    </xf>
    <xf numFmtId="177" fontId="4" fillId="0" borderId="0" xfId="59" applyNumberFormat="1" applyFont="1">
      <alignment vertical="center"/>
    </xf>
    <xf numFmtId="0" fontId="12" fillId="0" borderId="0" xfId="0" applyFont="1" applyBorder="1">
      <alignment vertical="center"/>
    </xf>
    <xf numFmtId="0" fontId="9" fillId="0" borderId="13" xfId="0" applyFont="1" applyBorder="1" applyAlignment="1">
      <alignment horizontal="center" vertical="center" wrapText="1"/>
    </xf>
    <xf numFmtId="0" fontId="12" fillId="0" borderId="0" xfId="0" applyFont="1" applyBorder="1" applyAlignment="1">
      <alignment horizontal="center" vertical="center" wrapText="1"/>
    </xf>
    <xf numFmtId="0" fontId="4" fillId="0" borderId="14" xfId="0" applyFont="1" applyBorder="1" applyAlignment="1">
      <alignment horizontal="center" vertical="center"/>
    </xf>
    <xf numFmtId="43" fontId="4" fillId="0" borderId="0" xfId="0" applyNumberFormat="1" applyFont="1" applyBorder="1" applyAlignment="1">
      <alignment horizontal="center" vertical="center"/>
    </xf>
    <xf numFmtId="0" fontId="4" fillId="0" borderId="15" xfId="0" applyFont="1" applyBorder="1" applyAlignment="1">
      <alignment horizontal="center" vertical="center"/>
    </xf>
    <xf numFmtId="10" fontId="9" fillId="0" borderId="0" xfId="3" applyNumberFormat="1" applyFont="1" applyBorder="1">
      <alignment vertical="center"/>
    </xf>
    <xf numFmtId="0" fontId="15" fillId="0" borderId="0" xfId="0" applyFont="1" applyBorder="1">
      <alignment vertical="center"/>
    </xf>
    <xf numFmtId="49" fontId="4" fillId="0" borderId="0" xfId="59" applyNumberFormat="1" applyFont="1" applyFill="1" applyBorder="1" applyAlignment="1">
      <alignment horizontal="center" vertical="center"/>
    </xf>
    <xf numFmtId="49" fontId="4" fillId="0" borderId="0" xfId="59" applyNumberFormat="1" applyFont="1" applyFill="1" applyBorder="1" applyAlignment="1">
      <alignment horizontal="left" vertical="center"/>
    </xf>
    <xf numFmtId="49" fontId="16" fillId="0" borderId="0" xfId="0" applyNumberFormat="1" applyFont="1" applyAlignment="1">
      <alignment horizontal="center" vertical="center"/>
    </xf>
    <xf numFmtId="49" fontId="12" fillId="0" borderId="0" xfId="59" applyNumberFormat="1" applyFont="1" applyFill="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center"/>
    </xf>
    <xf numFmtId="0" fontId="7" fillId="3" borderId="0" xfId="0" applyFont="1" applyFill="1" applyAlignment="1">
      <alignment horizontal="left" vertical="center"/>
    </xf>
    <xf numFmtId="0" fontId="17" fillId="0" borderId="0" xfId="0" applyFont="1" applyAlignment="1">
      <alignment horizontal="center" vertical="center"/>
    </xf>
    <xf numFmtId="0" fontId="7" fillId="0" borderId="16" xfId="0" applyFont="1" applyBorder="1" applyAlignment="1">
      <alignment horizontal="center" vertical="center"/>
    </xf>
    <xf numFmtId="0" fontId="18" fillId="3" borderId="0" xfId="0" applyFont="1" applyFill="1" applyAlignment="1">
      <alignment horizontal="left" vertical="center"/>
    </xf>
    <xf numFmtId="0" fontId="16" fillId="0" borderId="0" xfId="0" applyNumberFormat="1" applyFont="1" applyAlignment="1">
      <alignment vertical="center"/>
    </xf>
    <xf numFmtId="0" fontId="16" fillId="0" borderId="0" xfId="0" applyFont="1" applyAlignment="1">
      <alignment horizontal="left" vertical="center"/>
    </xf>
    <xf numFmtId="0" fontId="16" fillId="0" borderId="0" xfId="0" applyFont="1" applyAlignment="1">
      <alignment vertical="center"/>
    </xf>
    <xf numFmtId="0" fontId="19" fillId="0" borderId="17" xfId="0" applyFont="1" applyBorder="1" applyAlignment="1">
      <alignment horizontal="left" vertical="center"/>
    </xf>
    <xf numFmtId="0" fontId="0" fillId="0" borderId="0" xfId="0" applyAlignment="1">
      <alignment horizontal="left" vertical="center"/>
    </xf>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horizontal="left" vertical="center"/>
    </xf>
    <xf numFmtId="0" fontId="0" fillId="0" borderId="0" xfId="0" applyBorder="1">
      <alignment vertical="center"/>
    </xf>
    <xf numFmtId="0" fontId="11" fillId="0" borderId="0" xfId="0" applyFont="1" applyBorder="1">
      <alignment vertical="center"/>
    </xf>
    <xf numFmtId="0" fontId="4" fillId="0" borderId="18" xfId="0" applyFont="1" applyBorder="1">
      <alignment vertical="center"/>
    </xf>
    <xf numFmtId="0" fontId="7" fillId="2" borderId="18" xfId="0" applyFont="1" applyFill="1" applyBorder="1">
      <alignment vertical="center"/>
    </xf>
    <xf numFmtId="0" fontId="18" fillId="0" borderId="0" xfId="0" applyFont="1" applyBorder="1">
      <alignment vertical="center"/>
    </xf>
    <xf numFmtId="0" fontId="20" fillId="0" borderId="0" xfId="0" applyFont="1" applyBorder="1">
      <alignment vertical="center"/>
    </xf>
    <xf numFmtId="0" fontId="13" fillId="4" borderId="1"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13" xfId="0" applyFont="1" applyFill="1" applyBorder="1" applyAlignment="1">
      <alignment horizontal="center" vertical="center" wrapText="1"/>
    </xf>
    <xf numFmtId="0" fontId="4" fillId="0" borderId="18" xfId="0" applyFont="1" applyBorder="1" applyAlignment="1">
      <alignment horizontal="center" vertical="center"/>
    </xf>
    <xf numFmtId="0" fontId="4" fillId="0" borderId="0" xfId="59" applyFont="1">
      <alignment vertical="center"/>
    </xf>
    <xf numFmtId="0" fontId="14" fillId="4" borderId="3"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21" fillId="0" borderId="3" xfId="59" applyFont="1" applyBorder="1" applyAlignment="1">
      <alignment horizontal="center" vertical="center"/>
    </xf>
    <xf numFmtId="0" fontId="7" fillId="0" borderId="6" xfId="0" applyFont="1" applyBorder="1" applyAlignment="1">
      <alignment vertical="center" wrapText="1"/>
    </xf>
    <xf numFmtId="0" fontId="7" fillId="0" borderId="6" xfId="0" applyFont="1" applyBorder="1" applyAlignment="1">
      <alignment horizontal="center" vertical="center" wrapText="1"/>
    </xf>
    <xf numFmtId="176" fontId="7" fillId="0" borderId="6" xfId="0" applyNumberFormat="1" applyFont="1" applyBorder="1" applyAlignment="1">
      <alignment horizontal="center" vertical="center" wrapText="1"/>
    </xf>
    <xf numFmtId="176" fontId="7" fillId="0" borderId="6" xfId="0" applyNumberFormat="1" applyFont="1" applyBorder="1" applyAlignment="1">
      <alignment horizontal="right" vertical="center" wrapText="1"/>
    </xf>
    <xf numFmtId="176" fontId="7" fillId="0" borderId="14" xfId="0" applyNumberFormat="1" applyFont="1" applyBorder="1" applyAlignment="1">
      <alignment horizontal="right" vertical="center" wrapText="1"/>
    </xf>
    <xf numFmtId="0" fontId="18" fillId="0" borderId="6" xfId="0" applyFont="1" applyBorder="1" applyAlignment="1">
      <alignment vertical="center" wrapText="1"/>
    </xf>
    <xf numFmtId="14" fontId="22" fillId="0" borderId="0" xfId="0" applyNumberFormat="1" applyFont="1">
      <alignment vertical="center"/>
    </xf>
    <xf numFmtId="0" fontId="4" fillId="0" borderId="0" xfId="0" applyNumberFormat="1" applyFont="1" applyBorder="1">
      <alignment vertical="center"/>
    </xf>
    <xf numFmtId="0" fontId="7" fillId="2" borderId="19" xfId="0" applyFont="1" applyFill="1" applyBorder="1">
      <alignment vertical="center"/>
    </xf>
    <xf numFmtId="0" fontId="4" fillId="0" borderId="19" xfId="0" applyFont="1" applyBorder="1">
      <alignment vertical="center"/>
    </xf>
    <xf numFmtId="0" fontId="0" fillId="0" borderId="19" xfId="0" applyFont="1" applyBorder="1">
      <alignment vertical="center"/>
    </xf>
    <xf numFmtId="0" fontId="4" fillId="0" borderId="19" xfId="0" applyFont="1" applyBorder="1" applyAlignment="1">
      <alignment horizontal="center" vertical="center"/>
    </xf>
    <xf numFmtId="0" fontId="23" fillId="3" borderId="0" xfId="0" applyFont="1" applyFill="1">
      <alignment vertical="center"/>
    </xf>
    <xf numFmtId="0" fontId="0" fillId="0" borderId="19" xfId="0" applyFont="1" applyBorder="1" applyAlignment="1">
      <alignment horizontal="center" vertical="center"/>
    </xf>
    <xf numFmtId="0" fontId="7" fillId="0" borderId="3" xfId="0" applyFont="1" applyBorder="1" applyAlignment="1">
      <alignment horizontal="left" vertical="center" wrapText="1"/>
    </xf>
    <xf numFmtId="0" fontId="7" fillId="0" borderId="6" xfId="0" applyFont="1" applyBorder="1" applyAlignment="1">
      <alignment horizontal="left" vertical="center" wrapText="1"/>
    </xf>
    <xf numFmtId="176" fontId="7" fillId="0" borderId="14" xfId="0" applyNumberFormat="1" applyFont="1" applyBorder="1" applyAlignment="1">
      <alignment horizontal="left" vertical="center" wrapText="1"/>
    </xf>
    <xf numFmtId="0" fontId="4" fillId="0" borderId="18" xfId="0" applyFont="1" applyBorder="1" applyAlignment="1">
      <alignment horizontal="left" vertical="center"/>
    </xf>
    <xf numFmtId="0" fontId="7" fillId="0" borderId="9" xfId="0" applyFont="1" applyBorder="1" applyAlignment="1">
      <alignment horizontal="left" vertical="center" wrapText="1"/>
    </xf>
    <xf numFmtId="0" fontId="7" fillId="0" borderId="12" xfId="0" applyFont="1" applyBorder="1" applyAlignment="1">
      <alignment horizontal="left" vertical="center" wrapText="1"/>
    </xf>
    <xf numFmtId="176" fontId="7" fillId="0" borderId="15" xfId="0" applyNumberFormat="1" applyFont="1" applyBorder="1" applyAlignment="1">
      <alignment horizontal="left" vertical="center" wrapText="1"/>
    </xf>
    <xf numFmtId="0" fontId="7" fillId="0" borderId="0" xfId="0" applyFont="1" applyBorder="1" applyAlignment="1">
      <alignment horizontal="left" vertical="center"/>
    </xf>
    <xf numFmtId="0" fontId="4" fillId="0" borderId="0" xfId="0" applyFont="1" applyBorder="1" applyAlignment="1">
      <alignment horizontal="left" vertical="center"/>
    </xf>
    <xf numFmtId="0" fontId="7" fillId="0" borderId="0" xfId="0" applyFont="1" applyAlignment="1">
      <alignment horizontal="left" vertical="center" wrapText="1"/>
    </xf>
    <xf numFmtId="0" fontId="4" fillId="0" borderId="20" xfId="0" applyFont="1" applyBorder="1" applyAlignment="1">
      <alignment horizontal="left" vertical="center"/>
    </xf>
    <xf numFmtId="0" fontId="18" fillId="0" borderId="0" xfId="0" applyFont="1" applyBorder="1" applyAlignment="1">
      <alignment horizontal="left" vertical="center"/>
    </xf>
    <xf numFmtId="0" fontId="20"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Border="1" applyAlignment="1">
      <alignment horizontal="left" vertical="center"/>
    </xf>
    <xf numFmtId="0" fontId="24" fillId="0" borderId="0" xfId="0" applyFont="1" applyBorder="1" applyAlignment="1">
      <alignment horizontal="left" vertical="center" wrapText="1"/>
    </xf>
    <xf numFmtId="0" fontId="24" fillId="0" borderId="0" xfId="0" applyFont="1" applyBorder="1" applyAlignment="1">
      <alignment horizontal="left" vertical="center" wrapText="1"/>
    </xf>
    <xf numFmtId="0" fontId="24" fillId="0" borderId="0" xfId="0" applyFont="1" applyBorder="1" applyAlignment="1">
      <alignment horizontal="left" vertical="center" wrapText="1"/>
    </xf>
    <xf numFmtId="0" fontId="4" fillId="0" borderId="19" xfId="0" applyFont="1" applyBorder="1" applyAlignment="1">
      <alignment horizontal="left" vertical="center"/>
    </xf>
    <xf numFmtId="0" fontId="0" fillId="0" borderId="19" xfId="0" applyFont="1" applyBorder="1" applyAlignment="1">
      <alignment horizontal="left" vertical="center"/>
    </xf>
    <xf numFmtId="0" fontId="15" fillId="0" borderId="19" xfId="0" applyFont="1" applyBorder="1" applyAlignment="1">
      <alignment horizontal="left" vertical="center"/>
    </xf>
    <xf numFmtId="0" fontId="25" fillId="0" borderId="19" xfId="0" applyFont="1" applyBorder="1" applyAlignment="1">
      <alignment horizontal="left" vertical="center"/>
    </xf>
    <xf numFmtId="0" fontId="26" fillId="0" borderId="19" xfId="0" applyFont="1" applyBorder="1" applyAlignment="1">
      <alignment horizontal="left" vertical="center"/>
    </xf>
    <xf numFmtId="0" fontId="12" fillId="0" borderId="19" xfId="0" applyFont="1" applyBorder="1" applyAlignment="1">
      <alignment horizontal="left" vertical="center"/>
    </xf>
    <xf numFmtId="0" fontId="4" fillId="0" borderId="21" xfId="0" applyFont="1" applyBorder="1" applyAlignment="1">
      <alignment horizontal="left" vertical="center"/>
    </xf>
    <xf numFmtId="0" fontId="0" fillId="0" borderId="21" xfId="0" applyFont="1" applyBorder="1" applyAlignment="1">
      <alignment horizontal="left" vertical="center"/>
    </xf>
    <xf numFmtId="0" fontId="27" fillId="0" borderId="0" xfId="59" applyFont="1" applyBorder="1" applyAlignment="1">
      <alignment vertical="center"/>
    </xf>
    <xf numFmtId="0" fontId="20" fillId="0" borderId="0" xfId="0" applyFont="1" applyBorder="1" applyAlignment="1">
      <alignment horizontal="left" vertical="center" wrapText="1"/>
    </xf>
    <xf numFmtId="0" fontId="20" fillId="0" borderId="0" xfId="0" applyFont="1" applyBorder="1" applyAlignment="1">
      <alignment horizontal="left" vertical="center" wrapText="1"/>
    </xf>
    <xf numFmtId="0" fontId="20" fillId="0" borderId="0" xfId="0" applyFont="1" applyBorder="1" applyAlignment="1">
      <alignment horizontal="left" vertical="center" wrapText="1"/>
    </xf>
    <xf numFmtId="0" fontId="0" fillId="0" borderId="0" xfId="0" applyFont="1" applyBorder="1">
      <alignment vertical="center"/>
    </xf>
    <xf numFmtId="0" fontId="0" fillId="0" borderId="18" xfId="0" applyFont="1" applyBorder="1">
      <alignment vertical="center"/>
    </xf>
    <xf numFmtId="0" fontId="8" fillId="0" borderId="0" xfId="0" applyFont="1" applyBorder="1" applyAlignment="1">
      <alignment vertical="center"/>
    </xf>
    <xf numFmtId="0" fontId="28" fillId="0" borderId="0" xfId="0" applyFont="1" applyBorder="1">
      <alignment vertical="center"/>
    </xf>
    <xf numFmtId="0" fontId="28" fillId="0" borderId="18" xfId="0" applyFont="1" applyBorder="1">
      <alignment vertical="center"/>
    </xf>
    <xf numFmtId="0" fontId="28" fillId="0" borderId="19" xfId="0" applyFont="1" applyBorder="1">
      <alignment vertical="center"/>
    </xf>
    <xf numFmtId="0" fontId="29" fillId="0" borderId="0" xfId="0" applyNumberFormat="1" applyFont="1" applyFill="1" applyBorder="1" applyAlignment="1">
      <alignment vertical="center"/>
    </xf>
    <xf numFmtId="0" fontId="30" fillId="3" borderId="0" xfId="0" applyNumberFormat="1" applyFont="1" applyFill="1" applyBorder="1" applyAlignment="1">
      <alignment vertical="center"/>
    </xf>
    <xf numFmtId="0" fontId="31" fillId="0" borderId="0" xfId="0" applyNumberFormat="1" applyFont="1" applyFill="1" applyBorder="1" applyAlignment="1">
      <alignment vertical="center"/>
    </xf>
    <xf numFmtId="0" fontId="32" fillId="0" borderId="0" xfId="0" applyNumberFormat="1" applyFont="1" applyFill="1" applyBorder="1" applyAlignment="1">
      <alignment vertical="center"/>
    </xf>
    <xf numFmtId="0" fontId="30" fillId="0" borderId="0" xfId="0" applyNumberFormat="1" applyFont="1" applyFill="1" applyBorder="1" applyAlignment="1">
      <alignment vertical="center"/>
    </xf>
    <xf numFmtId="176" fontId="30" fillId="0" borderId="0" xfId="1" applyNumberFormat="1" applyFont="1" applyFill="1" applyBorder="1" applyAlignment="1">
      <alignment horizontal="center" vertical="center"/>
    </xf>
    <xf numFmtId="0" fontId="30" fillId="0" borderId="0" xfId="0" applyNumberFormat="1" applyFont="1" applyFill="1" applyBorder="1" applyAlignment="1">
      <alignment horizontal="center" vertical="center"/>
    </xf>
    <xf numFmtId="0" fontId="32" fillId="0" borderId="0" xfId="0" applyNumberFormat="1" applyFont="1" applyFill="1" applyBorder="1" applyAlignment="1">
      <alignment horizontal="center" vertical="center"/>
    </xf>
    <xf numFmtId="178" fontId="30" fillId="0" borderId="0" xfId="0" applyNumberFormat="1" applyFont="1" applyFill="1" applyBorder="1" applyAlignment="1">
      <alignment vertical="center"/>
    </xf>
    <xf numFmtId="0" fontId="33" fillId="0" borderId="0" xfId="0" applyFont="1">
      <alignment vertical="center"/>
    </xf>
    <xf numFmtId="0" fontId="34" fillId="0" borderId="0" xfId="0" applyFont="1" applyAlignment="1">
      <alignment horizontal="left" vertical="center"/>
    </xf>
    <xf numFmtId="0" fontId="35" fillId="0" borderId="0" xfId="0" applyFont="1" applyAlignment="1">
      <alignment horizontal="center" vertical="center"/>
    </xf>
    <xf numFmtId="0" fontId="36" fillId="0" borderId="0" xfId="0" applyFont="1" applyAlignment="1">
      <alignment horizontal="right" vertical="center"/>
    </xf>
    <xf numFmtId="49" fontId="33" fillId="5" borderId="0" xfId="0" applyNumberFormat="1" applyFont="1" applyFill="1" applyAlignment="1" applyProtection="1">
      <alignment horizontal="left" vertical="center"/>
      <protection locked="0"/>
    </xf>
    <xf numFmtId="0" fontId="37" fillId="0" borderId="0" xfId="0" applyFont="1" applyAlignment="1">
      <alignment horizontal="left" vertical="center"/>
    </xf>
    <xf numFmtId="0" fontId="38" fillId="0" borderId="0" xfId="0" applyFont="1" applyAlignment="1">
      <alignment horizontal="center" vertical="center"/>
    </xf>
    <xf numFmtId="0" fontId="39" fillId="0" borderId="0" xfId="0" applyFont="1" applyAlignment="1">
      <alignment horizontal="left" vertical="center"/>
    </xf>
    <xf numFmtId="0" fontId="33" fillId="5" borderId="0" xfId="0" applyFont="1" applyFill="1" applyAlignment="1">
      <alignment horizontal="left" vertical="center"/>
    </xf>
    <xf numFmtId="0" fontId="40" fillId="0" borderId="0" xfId="0" applyFont="1">
      <alignment vertical="center"/>
    </xf>
    <xf numFmtId="179" fontId="35" fillId="5" borderId="0" xfId="0" applyNumberFormat="1" applyFont="1" applyFill="1" applyAlignment="1" applyProtection="1">
      <alignment horizontal="left" vertical="center"/>
      <protection locked="0"/>
    </xf>
    <xf numFmtId="0" fontId="38" fillId="0" borderId="0" xfId="0" applyFont="1" applyAlignment="1">
      <alignment horizontal="left" vertical="center"/>
    </xf>
    <xf numFmtId="0" fontId="33" fillId="0" borderId="0" xfId="0" applyFont="1" applyAlignment="1">
      <alignment horizontal="center" vertical="center"/>
    </xf>
    <xf numFmtId="0" fontId="38" fillId="0" borderId="0" xfId="0" applyFont="1" applyAlignment="1">
      <alignment horizontal="right" vertical="center"/>
    </xf>
    <xf numFmtId="0" fontId="34" fillId="0" borderId="0" xfId="0" applyFont="1">
      <alignment vertical="center"/>
    </xf>
    <xf numFmtId="49" fontId="35" fillId="5" borderId="0" xfId="0" applyNumberFormat="1" applyFont="1" applyFill="1" applyAlignment="1" applyProtection="1">
      <alignment horizontal="left" vertical="center"/>
      <protection locked="0"/>
    </xf>
    <xf numFmtId="49" fontId="35" fillId="6" borderId="0" xfId="0" applyNumberFormat="1" applyFont="1" applyFill="1" applyAlignment="1" applyProtection="1">
      <alignment horizontal="left" vertical="center"/>
      <protection locked="0"/>
    </xf>
    <xf numFmtId="0" fontId="29" fillId="0" borderId="0" xfId="0" applyFont="1">
      <alignment vertical="center"/>
    </xf>
    <xf numFmtId="0" fontId="37" fillId="0" borderId="0" xfId="0" applyFont="1">
      <alignment vertical="center"/>
    </xf>
    <xf numFmtId="0" fontId="41" fillId="0" borderId="0" xfId="0" applyFont="1">
      <alignment vertical="center"/>
    </xf>
    <xf numFmtId="0" fontId="35" fillId="0" borderId="22" xfId="0" applyFont="1" applyBorder="1" applyAlignment="1">
      <alignment horizontal="center" vertical="center"/>
    </xf>
    <xf numFmtId="0" fontId="35" fillId="0" borderId="23" xfId="0" applyFont="1" applyBorder="1">
      <alignment vertical="center"/>
    </xf>
    <xf numFmtId="0" fontId="35" fillId="0" borderId="24" xfId="0" applyFont="1" applyBorder="1" applyAlignment="1">
      <alignment horizontal="center" vertical="center"/>
    </xf>
    <xf numFmtId="0" fontId="35" fillId="0" borderId="25" xfId="0" applyFont="1" applyBorder="1" applyAlignment="1">
      <alignment horizontal="center" vertical="center"/>
    </xf>
    <xf numFmtId="0" fontId="35" fillId="0" borderId="6" xfId="0" applyFont="1" applyBorder="1" applyAlignment="1">
      <alignment horizontal="center" vertical="center"/>
    </xf>
    <xf numFmtId="49" fontId="35" fillId="0" borderId="6" xfId="0" applyNumberFormat="1" applyFont="1" applyBorder="1" applyAlignment="1">
      <alignment horizontal="center" vertical="center"/>
    </xf>
    <xf numFmtId="0" fontId="35" fillId="0" borderId="6" xfId="0" applyFont="1" applyBorder="1">
      <alignment vertical="center"/>
    </xf>
    <xf numFmtId="49" fontId="35" fillId="0" borderId="6" xfId="0" applyNumberFormat="1" applyFont="1" applyBorder="1">
      <alignment vertical="center"/>
    </xf>
    <xf numFmtId="0" fontId="35" fillId="0" borderId="26" xfId="0" applyFont="1" applyBorder="1" applyAlignment="1">
      <alignment horizontal="center" vertical="center"/>
    </xf>
    <xf numFmtId="0" fontId="35" fillId="0" borderId="27" xfId="0" applyFont="1" applyBorder="1" applyAlignment="1">
      <alignment horizontal="center" vertical="center"/>
    </xf>
    <xf numFmtId="0" fontId="35" fillId="0" borderId="28" xfId="0" applyFont="1" applyBorder="1" applyAlignment="1">
      <alignment horizontal="center" vertical="center"/>
    </xf>
    <xf numFmtId="0" fontId="35" fillId="3" borderId="28" xfId="0" applyFont="1" applyFill="1" applyBorder="1" applyAlignment="1">
      <alignment horizontal="center" vertical="center"/>
    </xf>
    <xf numFmtId="49" fontId="35" fillId="3" borderId="6" xfId="0" applyNumberFormat="1" applyFont="1" applyFill="1" applyBorder="1" applyAlignment="1">
      <alignment horizontal="center" vertical="center"/>
    </xf>
    <xf numFmtId="0" fontId="35" fillId="3" borderId="6" xfId="0" applyFont="1" applyFill="1" applyBorder="1" applyAlignment="1">
      <alignment horizontal="center" vertical="center"/>
    </xf>
    <xf numFmtId="0" fontId="35" fillId="3" borderId="6" xfId="0" applyFont="1" applyFill="1" applyBorder="1">
      <alignment vertical="center"/>
    </xf>
    <xf numFmtId="49" fontId="35" fillId="3" borderId="6" xfId="0" applyNumberFormat="1" applyFont="1" applyFill="1" applyBorder="1">
      <alignment vertical="center"/>
    </xf>
    <xf numFmtId="0" fontId="35" fillId="0" borderId="6" xfId="0" applyFont="1" applyBorder="1" applyAlignment="1">
      <alignment horizontal="center" vertical="center" wrapText="1"/>
    </xf>
    <xf numFmtId="0" fontId="35" fillId="3" borderId="27" xfId="0" applyFont="1" applyFill="1" applyBorder="1" applyAlignment="1">
      <alignment horizontal="center" vertical="center"/>
    </xf>
    <xf numFmtId="0" fontId="35" fillId="3" borderId="26" xfId="0" applyFont="1" applyFill="1" applyBorder="1" applyAlignment="1">
      <alignment horizontal="center" vertical="center"/>
    </xf>
    <xf numFmtId="0" fontId="33" fillId="0" borderId="0" xfId="1" applyNumberFormat="1" applyFont="1" applyFill="1" applyAlignment="1">
      <alignment horizontal="left" vertical="center"/>
    </xf>
    <xf numFmtId="0" fontId="35" fillId="6" borderId="0" xfId="0" applyFont="1" applyFill="1" applyAlignment="1" applyProtection="1">
      <alignment horizontal="left" vertical="center"/>
      <protection locked="0"/>
    </xf>
    <xf numFmtId="176" fontId="33" fillId="0" borderId="0" xfId="1" applyNumberFormat="1" applyFont="1" applyFill="1" applyAlignment="1">
      <alignment horizontal="left" vertical="center"/>
    </xf>
    <xf numFmtId="176" fontId="37" fillId="0" borderId="0" xfId="1" applyNumberFormat="1" applyFont="1" applyFill="1" applyAlignment="1">
      <alignment horizontal="left" vertical="center"/>
    </xf>
    <xf numFmtId="0" fontId="35" fillId="0" borderId="0" xfId="0" applyFont="1">
      <alignment vertical="center"/>
    </xf>
    <xf numFmtId="49" fontId="35" fillId="0" borderId="0" xfId="0" applyNumberFormat="1" applyFont="1" applyFill="1">
      <alignment vertical="center"/>
    </xf>
    <xf numFmtId="180" fontId="35" fillId="0" borderId="0" xfId="0" applyNumberFormat="1" applyFont="1" applyFill="1" applyAlignment="1" applyProtection="1">
      <alignment horizontal="left" vertical="center"/>
      <protection locked="0"/>
    </xf>
    <xf numFmtId="10" fontId="33" fillId="0" borderId="0" xfId="3" applyNumberFormat="1" applyFont="1" applyFill="1">
      <alignment vertical="center"/>
    </xf>
    <xf numFmtId="10" fontId="37" fillId="0" borderId="0" xfId="3" applyNumberFormat="1" applyFont="1" applyFill="1">
      <alignment vertical="center"/>
    </xf>
    <xf numFmtId="0" fontId="35" fillId="0" borderId="0" xfId="0" applyFont="1" applyAlignment="1">
      <alignment horizontal="left" vertical="center"/>
    </xf>
    <xf numFmtId="176" fontId="37" fillId="0" borderId="0" xfId="1" applyNumberFormat="1" applyFont="1" applyFill="1">
      <alignment vertical="center"/>
    </xf>
    <xf numFmtId="0" fontId="42" fillId="0" borderId="0" xfId="0" applyFont="1">
      <alignment vertical="center"/>
    </xf>
    <xf numFmtId="181" fontId="37" fillId="0" borderId="0" xfId="3" applyNumberFormat="1" applyFont="1" applyFill="1">
      <alignment vertical="center"/>
    </xf>
    <xf numFmtId="0" fontId="35" fillId="0" borderId="29" xfId="0" applyFont="1" applyBorder="1" applyAlignment="1">
      <alignment horizontal="center" vertical="center"/>
    </xf>
    <xf numFmtId="0" fontId="35" fillId="0" borderId="30" xfId="0" applyFont="1" applyBorder="1" applyAlignment="1" applyProtection="1">
      <alignment horizontal="center" vertical="center"/>
      <protection locked="0"/>
    </xf>
    <xf numFmtId="0" fontId="35" fillId="0" borderId="31" xfId="0" applyFont="1" applyBorder="1" applyAlignment="1" applyProtection="1">
      <alignment horizontal="center" vertical="center"/>
      <protection locked="0"/>
    </xf>
    <xf numFmtId="0" fontId="35" fillId="0" borderId="29" xfId="0" applyFont="1" applyBorder="1" applyAlignment="1" applyProtection="1">
      <alignment horizontal="center" vertical="center"/>
      <protection locked="0"/>
    </xf>
    <xf numFmtId="176" fontId="35" fillId="0" borderId="22" xfId="1" applyNumberFormat="1" applyFont="1" applyFill="1" applyBorder="1" applyAlignment="1">
      <alignment horizontal="center" vertical="center"/>
    </xf>
    <xf numFmtId="0" fontId="35" fillId="0" borderId="23" xfId="0" applyFont="1" applyBorder="1" applyAlignment="1">
      <alignment horizontal="center" vertical="center"/>
    </xf>
    <xf numFmtId="0" fontId="35" fillId="0" borderId="28" xfId="0" applyFont="1" applyBorder="1" applyAlignment="1" applyProtection="1">
      <alignment horizontal="center" vertical="center"/>
      <protection locked="0"/>
    </xf>
    <xf numFmtId="0" fontId="35" fillId="0" borderId="32" xfId="0" applyFont="1" applyBorder="1" applyAlignment="1" applyProtection="1">
      <alignment horizontal="center" vertical="center"/>
      <protection locked="0"/>
    </xf>
    <xf numFmtId="0" fontId="35" fillId="0" borderId="0" xfId="0" applyFont="1" applyAlignment="1" applyProtection="1">
      <alignment horizontal="center" vertical="center"/>
      <protection locked="0"/>
    </xf>
    <xf numFmtId="176" fontId="35" fillId="0" borderId="24" xfId="1" applyNumberFormat="1" applyFont="1" applyFill="1" applyBorder="1" applyAlignment="1">
      <alignment horizontal="center" vertical="center"/>
    </xf>
    <xf numFmtId="0" fontId="35" fillId="0" borderId="33" xfId="0" applyFont="1" applyBorder="1">
      <alignment vertical="center"/>
    </xf>
    <xf numFmtId="0" fontId="35" fillId="0" borderId="6" xfId="0" applyFont="1" applyBorder="1" applyAlignment="1" applyProtection="1">
      <alignment horizontal="center" vertical="center"/>
      <protection locked="0"/>
    </xf>
    <xf numFmtId="0" fontId="35" fillId="0" borderId="33" xfId="0" applyFont="1" applyBorder="1" applyAlignment="1" applyProtection="1">
      <alignment horizontal="center" vertical="center"/>
      <protection locked="0"/>
    </xf>
    <xf numFmtId="0" fontId="35" fillId="0" borderId="3" xfId="1" applyNumberFormat="1" applyFont="1" applyFill="1" applyBorder="1" applyAlignment="1">
      <alignment horizontal="center" vertical="center"/>
    </xf>
    <xf numFmtId="176" fontId="35" fillId="0" borderId="3" xfId="1" applyNumberFormat="1" applyFont="1" applyFill="1" applyBorder="1" applyAlignment="1">
      <alignment horizontal="center" vertical="center"/>
    </xf>
    <xf numFmtId="0" fontId="35" fillId="3" borderId="33" xfId="0" applyFont="1" applyFill="1" applyBorder="1">
      <alignment vertical="center"/>
    </xf>
    <xf numFmtId="0" fontId="35" fillId="3" borderId="6" xfId="0" applyFont="1" applyFill="1" applyBorder="1" applyAlignment="1" applyProtection="1">
      <alignment horizontal="center" vertical="center"/>
      <protection locked="0"/>
    </xf>
    <xf numFmtId="0" fontId="35" fillId="3" borderId="33" xfId="0" applyFont="1" applyFill="1" applyBorder="1" applyAlignment="1" applyProtection="1">
      <alignment horizontal="center" vertical="center"/>
      <protection locked="0"/>
    </xf>
    <xf numFmtId="0" fontId="35" fillId="3" borderId="3" xfId="1" applyNumberFormat="1" applyFont="1" applyFill="1" applyBorder="1" applyAlignment="1">
      <alignment horizontal="center" vertical="center"/>
    </xf>
    <xf numFmtId="176" fontId="35" fillId="3" borderId="3" xfId="1" applyNumberFormat="1" applyFont="1" applyFill="1" applyBorder="1" applyAlignment="1">
      <alignment horizontal="center" vertical="center"/>
    </xf>
    <xf numFmtId="3" fontId="35" fillId="0" borderId="33" xfId="0" applyNumberFormat="1" applyFont="1" applyBorder="1">
      <alignment vertical="center"/>
    </xf>
    <xf numFmtId="0" fontId="43" fillId="0" borderId="33" xfId="0" applyFont="1" applyBorder="1">
      <alignment vertical="center"/>
    </xf>
    <xf numFmtId="0" fontId="44" fillId="0" borderId="33" xfId="0" applyFont="1" applyBorder="1">
      <alignment vertical="center"/>
    </xf>
    <xf numFmtId="0" fontId="42" fillId="0" borderId="33" xfId="0" applyFont="1" applyBorder="1">
      <alignment vertical="center"/>
    </xf>
    <xf numFmtId="176" fontId="33" fillId="0" borderId="0" xfId="1" applyNumberFormat="1" applyFont="1" applyFill="1">
      <alignment vertical="center"/>
    </xf>
    <xf numFmtId="0" fontId="45" fillId="0" borderId="0" xfId="0" applyFont="1" applyAlignment="1">
      <alignment horizontal="center" vertical="center"/>
    </xf>
    <xf numFmtId="0" fontId="35" fillId="0" borderId="0" xfId="0" applyNumberFormat="1" applyFont="1" applyAlignment="1" applyProtection="1">
      <alignment horizontal="left" vertical="center"/>
      <protection locked="0"/>
    </xf>
    <xf numFmtId="49" fontId="35" fillId="0" borderId="0" xfId="0" applyNumberFormat="1" applyFont="1" applyAlignment="1" applyProtection="1">
      <alignment horizontal="left" vertical="center"/>
      <protection locked="0"/>
    </xf>
    <xf numFmtId="0" fontId="45" fillId="0" borderId="0" xfId="0" applyFont="1">
      <alignment vertical="center"/>
    </xf>
    <xf numFmtId="49" fontId="36" fillId="0" borderId="0" xfId="0" applyNumberFormat="1" applyFont="1" applyAlignment="1" applyProtection="1">
      <alignment horizontal="left" vertical="center"/>
      <protection locked="0"/>
    </xf>
    <xf numFmtId="0" fontId="46" fillId="0" borderId="0" xfId="0" applyFont="1">
      <alignment vertical="center"/>
    </xf>
    <xf numFmtId="176" fontId="37" fillId="0" borderId="0" xfId="1" applyNumberFormat="1" applyFont="1" applyFill="1" applyAlignment="1">
      <alignment horizontal="center" vertical="center"/>
    </xf>
    <xf numFmtId="0" fontId="37" fillId="0" borderId="0" xfId="0" applyFont="1" applyAlignment="1">
      <alignment horizontal="center" vertical="center"/>
    </xf>
    <xf numFmtId="49" fontId="35" fillId="0" borderId="0" xfId="0" applyNumberFormat="1" applyFont="1">
      <alignment vertical="center"/>
    </xf>
    <xf numFmtId="0" fontId="36" fillId="0" borderId="0" xfId="0" applyNumberFormat="1" applyFont="1">
      <alignment vertical="center"/>
    </xf>
    <xf numFmtId="176" fontId="35" fillId="0" borderId="34" xfId="1" applyNumberFormat="1" applyFont="1" applyFill="1" applyBorder="1" applyAlignment="1">
      <alignment horizontal="center" vertical="center"/>
    </xf>
    <xf numFmtId="0" fontId="35" fillId="0" borderId="35" xfId="0" applyFont="1" applyBorder="1" applyAlignment="1">
      <alignment horizontal="center" vertical="center"/>
    </xf>
    <xf numFmtId="9" fontId="35" fillId="0" borderId="35" xfId="3" applyFont="1" applyFill="1" applyBorder="1" applyAlignment="1">
      <alignment horizontal="center" vertical="center"/>
    </xf>
    <xf numFmtId="0" fontId="35" fillId="0" borderId="36" xfId="0" applyFont="1" applyBorder="1" applyAlignment="1">
      <alignment horizontal="center" vertical="center"/>
    </xf>
    <xf numFmtId="9" fontId="35" fillId="0" borderId="23" xfId="3" applyFont="1" applyFill="1" applyBorder="1" applyAlignment="1">
      <alignment horizontal="center" vertical="center"/>
    </xf>
    <xf numFmtId="0" fontId="35" fillId="0" borderId="33" xfId="0" applyFont="1" applyBorder="1" applyAlignment="1">
      <alignment horizontal="center" vertical="center"/>
    </xf>
    <xf numFmtId="176" fontId="35" fillId="0" borderId="37" xfId="1" applyNumberFormat="1" applyFont="1" applyFill="1" applyBorder="1" applyAlignment="1">
      <alignment horizontal="center" vertical="center"/>
    </xf>
    <xf numFmtId="176" fontId="35" fillId="0" borderId="38" xfId="1" applyNumberFormat="1" applyFont="1" applyFill="1" applyBorder="1" applyAlignment="1">
      <alignment horizontal="center" vertical="center"/>
    </xf>
    <xf numFmtId="9" fontId="35" fillId="0" borderId="38" xfId="3" applyFont="1" applyFill="1" applyBorder="1" applyAlignment="1">
      <alignment horizontal="center" vertical="center"/>
    </xf>
    <xf numFmtId="0" fontId="35" fillId="0" borderId="38" xfId="0" applyFont="1" applyBorder="1" applyAlignment="1" applyProtection="1">
      <alignment horizontal="left" vertical="center"/>
      <protection locked="0"/>
    </xf>
    <xf numFmtId="0" fontId="35" fillId="0" borderId="6" xfId="0" applyFont="1" applyBorder="1" applyAlignment="1" applyProtection="1">
      <alignment horizontal="left" vertical="center"/>
      <protection locked="0"/>
    </xf>
    <xf numFmtId="176" fontId="35" fillId="3" borderId="37" xfId="1" applyNumberFormat="1" applyFont="1" applyFill="1" applyBorder="1" applyAlignment="1">
      <alignment horizontal="center" vertical="center"/>
    </xf>
    <xf numFmtId="176" fontId="35" fillId="3" borderId="38" xfId="1" applyNumberFormat="1" applyFont="1" applyFill="1" applyBorder="1" applyAlignment="1">
      <alignment horizontal="center" vertical="center"/>
    </xf>
    <xf numFmtId="9" fontId="35" fillId="3" borderId="38" xfId="3" applyFont="1" applyFill="1" applyBorder="1" applyAlignment="1">
      <alignment horizontal="center" vertical="center"/>
    </xf>
    <xf numFmtId="0" fontId="35" fillId="3" borderId="38" xfId="0" applyFont="1" applyFill="1" applyBorder="1" applyAlignment="1" applyProtection="1">
      <alignment horizontal="left" vertical="center"/>
      <protection locked="0"/>
    </xf>
    <xf numFmtId="0" fontId="35" fillId="3" borderId="6" xfId="0" applyFont="1" applyFill="1" applyBorder="1" applyAlignment="1" applyProtection="1">
      <alignment horizontal="left" vertical="center"/>
      <protection locked="0"/>
    </xf>
    <xf numFmtId="178" fontId="33" fillId="0" borderId="0" xfId="0" applyNumberFormat="1" applyFont="1">
      <alignment vertical="center"/>
    </xf>
    <xf numFmtId="178" fontId="37" fillId="0" borderId="0" xfId="0" applyNumberFormat="1" applyFont="1" applyAlignment="1">
      <alignment horizontal="center" vertical="center"/>
    </xf>
    <xf numFmtId="178" fontId="37" fillId="0" borderId="0" xfId="0" applyNumberFormat="1" applyFont="1">
      <alignment vertical="center"/>
    </xf>
    <xf numFmtId="178" fontId="35" fillId="0" borderId="0" xfId="0" applyNumberFormat="1" applyFont="1">
      <alignment vertical="center"/>
    </xf>
    <xf numFmtId="0" fontId="38" fillId="0" borderId="39" xfId="0" applyFont="1" applyBorder="1" applyAlignment="1">
      <alignment horizontal="center" vertical="center"/>
    </xf>
    <xf numFmtId="0" fontId="35" fillId="0" borderId="40" xfId="0" applyFont="1" applyBorder="1" applyAlignment="1">
      <alignment horizontal="center" vertical="center"/>
    </xf>
    <xf numFmtId="0" fontId="35" fillId="0" borderId="41" xfId="0" applyFont="1" applyBorder="1" applyAlignment="1">
      <alignment horizontal="center" vertical="center"/>
    </xf>
    <xf numFmtId="178" fontId="35" fillId="0" borderId="41" xfId="0" applyNumberFormat="1" applyFont="1" applyBorder="1" applyAlignment="1">
      <alignment horizontal="center" vertical="center"/>
    </xf>
    <xf numFmtId="178" fontId="35" fillId="0" borderId="36" xfId="0" applyNumberFormat="1" applyFont="1" applyBorder="1" applyAlignment="1">
      <alignment horizontal="center" vertical="center"/>
    </xf>
    <xf numFmtId="0" fontId="35" fillId="0" borderId="42" xfId="0" applyFont="1" applyBorder="1" applyAlignment="1">
      <alignment horizontal="center" vertical="center"/>
    </xf>
    <xf numFmtId="0" fontId="35" fillId="0" borderId="34" xfId="0" applyFont="1" applyBorder="1" applyAlignment="1">
      <alignment horizontal="center" vertical="center"/>
    </xf>
    <xf numFmtId="178" fontId="35" fillId="0" borderId="43" xfId="0" applyNumberFormat="1" applyFont="1" applyBorder="1" applyAlignment="1">
      <alignment horizontal="center" vertical="center"/>
    </xf>
    <xf numFmtId="178" fontId="35" fillId="0" borderId="38" xfId="0" applyNumberFormat="1" applyFont="1" applyBorder="1" applyAlignment="1">
      <alignment horizontal="center" vertical="center"/>
    </xf>
    <xf numFmtId="178" fontId="35" fillId="0" borderId="33" xfId="0" applyNumberFormat="1" applyFont="1" applyBorder="1" applyAlignment="1">
      <alignment horizontal="center" vertical="center"/>
    </xf>
    <xf numFmtId="0" fontId="35" fillId="0" borderId="44" xfId="0" applyFont="1" applyBorder="1" applyAlignment="1">
      <alignment horizontal="center" vertical="center"/>
    </xf>
    <xf numFmtId="2" fontId="35" fillId="0" borderId="8" xfId="61" applyNumberFormat="1" applyFont="1" applyBorder="1" applyAlignment="1">
      <alignment horizontal="center" vertical="center"/>
    </xf>
    <xf numFmtId="2" fontId="35" fillId="0" borderId="7" xfId="61" applyNumberFormat="1" applyFont="1" applyBorder="1" applyAlignment="1">
      <alignment horizontal="center" vertical="center"/>
    </xf>
    <xf numFmtId="178" fontId="35" fillId="0" borderId="7" xfId="61" applyNumberFormat="1" applyFont="1" applyBorder="1" applyAlignment="1">
      <alignment horizontal="center" vertical="center"/>
    </xf>
    <xf numFmtId="2" fontId="35" fillId="0" borderId="6" xfId="0" applyNumberFormat="1" applyFont="1" applyBorder="1" applyAlignment="1">
      <alignment horizontal="center" vertical="center"/>
    </xf>
    <xf numFmtId="2" fontId="35" fillId="0" borderId="43" xfId="0" applyNumberFormat="1" applyFont="1" applyBorder="1" applyAlignment="1">
      <alignment horizontal="center" vertical="center"/>
    </xf>
    <xf numFmtId="2" fontId="35" fillId="3" borderId="8" xfId="61" applyNumberFormat="1" applyFont="1" applyFill="1" applyBorder="1" applyAlignment="1">
      <alignment horizontal="center" vertical="center"/>
    </xf>
    <xf numFmtId="2" fontId="35" fillId="3" borderId="7" xfId="61" applyNumberFormat="1" applyFont="1" applyFill="1" applyBorder="1" applyAlignment="1">
      <alignment horizontal="center" vertical="center"/>
    </xf>
    <xf numFmtId="178" fontId="35" fillId="3" borderId="7" xfId="61" applyNumberFormat="1" applyFont="1" applyFill="1" applyBorder="1" applyAlignment="1">
      <alignment horizontal="center" vertical="center"/>
    </xf>
    <xf numFmtId="2" fontId="35" fillId="3" borderId="6" xfId="0" applyNumberFormat="1" applyFont="1" applyFill="1" applyBorder="1" applyAlignment="1">
      <alignment horizontal="center" vertical="center"/>
    </xf>
    <xf numFmtId="2" fontId="35" fillId="3" borderId="43" xfId="0" applyNumberFormat="1" applyFont="1" applyFill="1" applyBorder="1" applyAlignment="1">
      <alignment horizontal="center" vertical="center"/>
    </xf>
    <xf numFmtId="0" fontId="33" fillId="6" borderId="0" xfId="0" applyFont="1" applyFill="1" applyAlignment="1" applyProtection="1">
      <alignment horizontal="left" vertical="top" wrapText="1"/>
      <protection locked="0"/>
    </xf>
    <xf numFmtId="0" fontId="33" fillId="0" borderId="0" xfId="0" applyFont="1" applyAlignment="1" applyProtection="1">
      <alignment horizontal="center" vertical="top" wrapText="1"/>
      <protection locked="0"/>
    </xf>
    <xf numFmtId="0" fontId="38" fillId="7" borderId="0" xfId="0" applyFont="1" applyFill="1" applyAlignment="1" applyProtection="1">
      <alignment horizontal="left" vertical="top" wrapText="1"/>
      <protection locked="0"/>
    </xf>
    <xf numFmtId="0" fontId="38" fillId="7" borderId="0" xfId="0" applyFont="1" applyFill="1" applyAlignment="1">
      <alignment horizontal="left"/>
    </xf>
    <xf numFmtId="2" fontId="38" fillId="7" borderId="0" xfId="0" applyNumberFormat="1" applyFont="1" applyFill="1" applyAlignment="1">
      <alignment horizontal="center"/>
    </xf>
    <xf numFmtId="0" fontId="42" fillId="0" borderId="0" xfId="0" applyFont="1" applyAlignment="1">
      <alignment horizontal="left"/>
    </xf>
    <xf numFmtId="0" fontId="38" fillId="7" borderId="0" xfId="0" applyFont="1" applyFill="1" applyAlignment="1">
      <alignment horizontal="center"/>
    </xf>
    <xf numFmtId="1" fontId="38" fillId="7" borderId="0" xfId="0" applyNumberFormat="1" applyFont="1" applyFill="1" applyAlignment="1">
      <alignment horizontal="center"/>
    </xf>
    <xf numFmtId="0" fontId="33" fillId="0" borderId="0" xfId="0" applyFont="1" applyAlignment="1">
      <alignment horizontal="right" vertical="center"/>
    </xf>
    <xf numFmtId="0" fontId="35" fillId="0" borderId="6" xfId="60" applyFont="1" applyBorder="1" applyAlignment="1">
      <alignment horizontal="center" vertical="center"/>
    </xf>
    <xf numFmtId="178" fontId="33" fillId="3" borderId="0" xfId="0" applyNumberFormat="1" applyFont="1" applyFill="1">
      <alignment vertical="center"/>
    </xf>
    <xf numFmtId="0" fontId="33" fillId="3" borderId="0" xfId="0" applyFont="1" applyFill="1">
      <alignment vertical="center"/>
    </xf>
    <xf numFmtId="178" fontId="47" fillId="0" borderId="0" xfId="0" applyNumberFormat="1" applyFont="1">
      <alignment vertical="center"/>
    </xf>
    <xf numFmtId="0" fontId="48" fillId="0" borderId="6" xfId="0" applyFont="1" applyBorder="1" applyAlignment="1">
      <alignment horizontal="center" vertical="center"/>
    </xf>
    <xf numFmtId="0" fontId="21" fillId="0" borderId="6" xfId="0" applyFont="1" applyBorder="1" applyAlignment="1">
      <alignment horizontal="center" vertical="center" wrapText="1"/>
    </xf>
    <xf numFmtId="178" fontId="42" fillId="0" borderId="0" xfId="0" applyNumberFormat="1" applyFont="1">
      <alignment vertical="center"/>
    </xf>
    <xf numFmtId="0" fontId="4" fillId="3" borderId="6" xfId="0" applyFont="1" applyFill="1" applyBorder="1" applyAlignment="1">
      <alignment horizontal="center" vertical="center"/>
    </xf>
    <xf numFmtId="178" fontId="49" fillId="0" borderId="0" xfId="0" applyNumberFormat="1" applyFont="1">
      <alignment vertical="center"/>
    </xf>
    <xf numFmtId="182" fontId="33" fillId="0" borderId="0" xfId="0" applyNumberFormat="1" applyFont="1">
      <alignment vertical="center"/>
    </xf>
    <xf numFmtId="0" fontId="33" fillId="0" borderId="0" xfId="0" applyFont="1" applyAlignment="1" applyProtection="1">
      <alignment vertical="top" wrapText="1"/>
      <protection locked="0"/>
    </xf>
    <xf numFmtId="14" fontId="33" fillId="0" borderId="0" xfId="0" applyNumberFormat="1" applyFont="1">
      <alignment vertical="center"/>
    </xf>
    <xf numFmtId="0" fontId="21" fillId="0" borderId="6" xfId="0" applyFont="1" applyBorder="1" applyAlignment="1">
      <alignment horizontal="left" vertical="center" wrapText="1"/>
    </xf>
    <xf numFmtId="0" fontId="4" fillId="0" borderId="27" xfId="0" applyFont="1" applyBorder="1" applyAlignment="1">
      <alignment horizontal="center" vertical="center" wrapText="1"/>
    </xf>
    <xf numFmtId="0" fontId="4" fillId="0" borderId="6" xfId="0" applyFont="1" applyBorder="1" applyAlignment="1">
      <alignment horizontal="center" vertical="center" wrapText="1"/>
    </xf>
    <xf numFmtId="0" fontId="47" fillId="0" borderId="0" xfId="0" applyFont="1">
      <alignment vertical="center"/>
    </xf>
    <xf numFmtId="0" fontId="30" fillId="0" borderId="0" xfId="0" applyFont="1">
      <alignment vertical="center"/>
    </xf>
    <xf numFmtId="0" fontId="4" fillId="0" borderId="28" xfId="0" applyFont="1" applyBorder="1" applyAlignment="1">
      <alignment horizontal="center" vertical="center"/>
    </xf>
    <xf numFmtId="0" fontId="4" fillId="0" borderId="28" xfId="0" applyFont="1" applyBorder="1" applyAlignment="1">
      <alignment horizontal="center" vertical="center" wrapText="1"/>
    </xf>
    <xf numFmtId="0" fontId="4" fillId="3" borderId="28"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0" borderId="26" xfId="0" applyFont="1" applyBorder="1" applyAlignment="1">
      <alignment horizontal="center" vertical="center"/>
    </xf>
    <xf numFmtId="0" fontId="4" fillId="3" borderId="27" xfId="0" applyFont="1" applyFill="1" applyBorder="1" applyAlignment="1">
      <alignment horizontal="center" vertical="center" wrapText="1"/>
    </xf>
    <xf numFmtId="0" fontId="4" fillId="3" borderId="26" xfId="0" applyFont="1" applyFill="1" applyBorder="1" applyAlignment="1">
      <alignment horizontal="center" vertical="center"/>
    </xf>
    <xf numFmtId="0" fontId="4" fillId="3" borderId="26" xfId="0" applyFont="1" applyFill="1" applyBorder="1" applyAlignment="1">
      <alignment horizontal="center" vertical="center" wrapText="1"/>
    </xf>
    <xf numFmtId="0" fontId="29" fillId="3" borderId="0" xfId="0" applyFont="1" applyFill="1">
      <alignment vertical="center"/>
    </xf>
    <xf numFmtId="0" fontId="50" fillId="0" borderId="0" xfId="0" applyFont="1">
      <alignment vertical="center"/>
    </xf>
    <xf numFmtId="0" fontId="50" fillId="3" borderId="0" xfId="0" applyFont="1" applyFill="1">
      <alignment vertical="center"/>
    </xf>
    <xf numFmtId="49" fontId="35" fillId="0" borderId="6" xfId="0" applyNumberFormat="1" applyFont="1" applyBorder="1" applyAlignment="1">
      <alignment horizontal="center" vertical="center" wrapText="1"/>
    </xf>
    <xf numFmtId="49" fontId="7" fillId="0" borderId="45" xfId="0" applyNumberFormat="1" applyFont="1" applyBorder="1" applyAlignment="1">
      <alignment horizontal="center" vertical="center"/>
    </xf>
    <xf numFmtId="49" fontId="35" fillId="0" borderId="6" xfId="0" applyNumberFormat="1" applyFont="1" applyBorder="1" applyAlignment="1">
      <alignment vertical="center" wrapText="1"/>
    </xf>
    <xf numFmtId="49" fontId="35" fillId="3" borderId="6" xfId="0" applyNumberFormat="1" applyFont="1" applyFill="1" applyBorder="1" applyAlignment="1">
      <alignment vertical="center" wrapText="1"/>
    </xf>
    <xf numFmtId="0" fontId="44" fillId="0" borderId="27" xfId="0" applyFont="1" applyBorder="1" applyAlignment="1">
      <alignment horizontal="center" vertical="center"/>
    </xf>
    <xf numFmtId="0" fontId="35" fillId="0" borderId="8" xfId="0" applyFont="1" applyBorder="1">
      <alignment vertical="center"/>
    </xf>
    <xf numFmtId="0" fontId="7" fillId="0" borderId="46" xfId="0" applyFont="1" applyBorder="1" applyAlignment="1">
      <alignment horizontal="left"/>
    </xf>
    <xf numFmtId="0" fontId="35" fillId="0" borderId="47" xfId="0" applyFont="1" applyBorder="1" applyAlignment="1">
      <alignment horizontal="center" vertical="center"/>
    </xf>
    <xf numFmtId="0" fontId="35" fillId="0" borderId="39" xfId="0" applyFont="1" applyBorder="1" applyAlignment="1">
      <alignment horizontal="center" vertical="center"/>
    </xf>
    <xf numFmtId="0" fontId="35" fillId="0" borderId="10" xfId="0" applyFont="1" applyBorder="1" applyAlignment="1" applyProtection="1">
      <alignment horizontal="center" vertical="center"/>
      <protection locked="0"/>
    </xf>
    <xf numFmtId="0" fontId="35" fillId="0" borderId="48" xfId="0" applyFont="1" applyBorder="1" applyAlignment="1" applyProtection="1">
      <alignment horizontal="center" vertical="center"/>
      <protection locked="0"/>
    </xf>
    <xf numFmtId="176" fontId="35" fillId="0" borderId="0" xfId="1" applyNumberFormat="1" applyFont="1" applyFill="1" applyAlignment="1">
      <alignment horizontal="center" vertical="center"/>
    </xf>
    <xf numFmtId="0" fontId="35" fillId="0" borderId="37" xfId="1" applyNumberFormat="1" applyFont="1" applyFill="1" applyBorder="1" applyAlignment="1">
      <alignment horizontal="center" vertical="center"/>
    </xf>
    <xf numFmtId="0" fontId="35" fillId="0" borderId="38" xfId="1" applyNumberFormat="1" applyFont="1" applyFill="1" applyBorder="1" applyAlignment="1">
      <alignment horizontal="center" vertical="center"/>
    </xf>
    <xf numFmtId="176" fontId="35" fillId="0" borderId="39" xfId="1" applyNumberFormat="1" applyFont="1" applyFill="1" applyBorder="1" applyAlignment="1">
      <alignment horizontal="center" vertical="center"/>
    </xf>
    <xf numFmtId="9" fontId="35" fillId="0" borderId="0" xfId="3" applyFont="1" applyFill="1" applyAlignment="1">
      <alignment horizontal="center" vertical="center"/>
    </xf>
    <xf numFmtId="0" fontId="35" fillId="0" borderId="43" xfId="0" applyFont="1" applyBorder="1" applyAlignment="1">
      <alignment horizontal="center" vertical="center"/>
    </xf>
    <xf numFmtId="0" fontId="35" fillId="0" borderId="49" xfId="0" applyFont="1" applyBorder="1" applyAlignment="1">
      <alignment horizontal="center" vertical="center"/>
    </xf>
    <xf numFmtId="178" fontId="35" fillId="0" borderId="39" xfId="0" applyNumberFormat="1" applyFont="1" applyBorder="1" applyAlignment="1">
      <alignment horizontal="center" vertical="center"/>
    </xf>
    <xf numFmtId="178" fontId="35" fillId="0" borderId="11" xfId="0" applyNumberFormat="1" applyFont="1" applyBorder="1" applyAlignment="1">
      <alignment horizontal="center" vertical="center"/>
    </xf>
    <xf numFmtId="178" fontId="49" fillId="3" borderId="0" xfId="0" applyNumberFormat="1" applyFont="1" applyFill="1">
      <alignment vertical="center"/>
    </xf>
    <xf numFmtId="178" fontId="51" fillId="0" borderId="0" xfId="0" applyNumberFormat="1" applyFont="1">
      <alignment vertical="center"/>
    </xf>
    <xf numFmtId="180" fontId="35" fillId="0" borderId="6" xfId="60" applyNumberFormat="1" applyFont="1" applyBorder="1" applyAlignment="1">
      <alignment horizontal="center" vertical="center"/>
    </xf>
    <xf numFmtId="0" fontId="52" fillId="8" borderId="0" xfId="0" applyFont="1" applyFill="1" applyAlignment="1">
      <alignment horizontal="left"/>
    </xf>
    <xf numFmtId="0" fontId="53" fillId="8" borderId="0" xfId="0" applyFont="1" applyFill="1" applyAlignment="1">
      <alignment horizontal="left"/>
    </xf>
    <xf numFmtId="0" fontId="36" fillId="0" borderId="0" xfId="0" applyFont="1">
      <alignment vertical="center"/>
    </xf>
    <xf numFmtId="0" fontId="32" fillId="0" borderId="0" xfId="0" applyFont="1">
      <alignment vertical="center"/>
    </xf>
    <xf numFmtId="0" fontId="33" fillId="0" borderId="0" xfId="0" applyFont="1" applyAlignment="1">
      <alignment horizontal="left" vertical="center"/>
    </xf>
    <xf numFmtId="183" fontId="52" fillId="8" borderId="0" xfId="0" applyNumberFormat="1" applyFont="1" applyFill="1" applyAlignment="1">
      <alignment horizontal="left"/>
    </xf>
    <xf numFmtId="3" fontId="33" fillId="0" borderId="0" xfId="0" applyNumberFormat="1" applyFont="1" applyAlignment="1">
      <alignment horizontal="center" vertical="center"/>
    </xf>
    <xf numFmtId="3" fontId="54" fillId="8" borderId="0" xfId="0" applyNumberFormat="1" applyFont="1" applyFill="1" applyAlignment="1">
      <alignment horizontal="center"/>
    </xf>
    <xf numFmtId="3" fontId="33" fillId="0" borderId="0" xfId="0" applyNumberFormat="1" applyFont="1">
      <alignment vertical="center"/>
    </xf>
    <xf numFmtId="183" fontId="53" fillId="8" borderId="0" xfId="0" applyNumberFormat="1" applyFont="1" applyFill="1" applyAlignment="1">
      <alignment horizontal="left"/>
    </xf>
    <xf numFmtId="3" fontId="30" fillId="0" borderId="0" xfId="0" applyNumberFormat="1" applyFont="1">
      <alignment vertical="center"/>
    </xf>
    <xf numFmtId="0" fontId="30" fillId="0" borderId="0" xfId="0" applyFont="1" applyAlignment="1">
      <alignment horizontal="center" vertical="center"/>
    </xf>
    <xf numFmtId="176" fontId="30" fillId="0" borderId="0" xfId="1" applyNumberFormat="1" applyFont="1" applyFill="1">
      <alignment vertical="center"/>
    </xf>
    <xf numFmtId="3" fontId="32" fillId="0" borderId="0" xfId="0" applyNumberFormat="1" applyFont="1">
      <alignment vertical="center"/>
    </xf>
    <xf numFmtId="176" fontId="33" fillId="0" borderId="0" xfId="1" applyNumberFormat="1" applyFont="1" applyFill="1" applyAlignment="1">
      <alignment horizontal="center" vertical="center"/>
    </xf>
    <xf numFmtId="180" fontId="33" fillId="0" borderId="0" xfId="0" applyNumberFormat="1" applyFont="1">
      <alignment vertical="center"/>
    </xf>
    <xf numFmtId="0" fontId="32" fillId="0" borderId="0" xfId="0" applyFont="1" applyAlignment="1">
      <alignment horizontal="center" vertical="center"/>
    </xf>
    <xf numFmtId="178" fontId="33" fillId="0" borderId="0" xfId="0" applyNumberFormat="1" applyFont="1" applyAlignment="1">
      <alignment horizontal="center" vertical="center"/>
    </xf>
    <xf numFmtId="178" fontId="30" fillId="0" borderId="0" xfId="0" applyNumberFormat="1" applyFont="1">
      <alignment vertical="center"/>
    </xf>
    <xf numFmtId="0" fontId="55" fillId="0" borderId="0" xfId="0" applyFont="1">
      <alignment vertical="center"/>
    </xf>
    <xf numFmtId="0" fontId="31" fillId="0" borderId="0" xfId="0" applyFont="1">
      <alignment vertical="center"/>
    </xf>
    <xf numFmtId="0" fontId="56" fillId="0" borderId="0" xfId="0" applyFont="1">
      <alignment vertical="center"/>
    </xf>
    <xf numFmtId="0" fontId="57" fillId="0" borderId="19" xfId="0" applyFont="1" applyBorder="1" applyAlignment="1">
      <alignment vertical="center" wrapText="1"/>
    </xf>
    <xf numFmtId="0" fontId="33" fillId="0" borderId="19" xfId="0" applyFont="1" applyBorder="1" applyAlignment="1">
      <alignment vertical="center" wrapText="1"/>
    </xf>
    <xf numFmtId="0" fontId="28" fillId="0" borderId="19" xfId="0" applyFont="1" applyBorder="1" applyAlignment="1">
      <alignment vertical="center" wrapText="1"/>
    </xf>
    <xf numFmtId="0" fontId="58" fillId="0" borderId="50" xfId="0" applyFont="1" applyBorder="1" applyAlignment="1">
      <alignment horizontal="center" vertical="center" wrapText="1"/>
    </xf>
    <xf numFmtId="0" fontId="59" fillId="0" borderId="50" xfId="0" applyFont="1" applyBorder="1" applyAlignment="1">
      <alignment horizontal="center" vertical="center" wrapText="1"/>
    </xf>
    <xf numFmtId="0" fontId="59" fillId="0" borderId="50" xfId="0" applyFont="1" applyBorder="1" applyAlignment="1">
      <alignment horizontal="left" vertical="center" wrapText="1"/>
    </xf>
    <xf numFmtId="0" fontId="59" fillId="0" borderId="51" xfId="0" applyFont="1" applyBorder="1" applyAlignment="1">
      <alignment vertical="center" wrapText="1"/>
    </xf>
    <xf numFmtId="0" fontId="19" fillId="0" borderId="6" xfId="0" applyFont="1" applyBorder="1" applyAlignment="1">
      <alignment horizontal="center" vertical="center" wrapText="1"/>
    </xf>
    <xf numFmtId="0" fontId="42" fillId="0" borderId="6" xfId="0" applyFont="1" applyBorder="1" applyAlignment="1">
      <alignment horizontal="left" vertical="center" wrapText="1"/>
    </xf>
    <xf numFmtId="0" fontId="19" fillId="0" borderId="6" xfId="0" applyFont="1" applyBorder="1" applyAlignment="1">
      <alignment horizontal="left" vertical="center" wrapText="1"/>
    </xf>
    <xf numFmtId="0" fontId="19" fillId="0" borderId="17" xfId="0" applyFont="1" applyBorder="1" applyAlignment="1">
      <alignment vertical="center" wrapText="1"/>
    </xf>
    <xf numFmtId="0" fontId="58" fillId="0" borderId="19" xfId="0" applyFont="1" applyBorder="1" applyAlignment="1">
      <alignment vertical="center" wrapText="1"/>
    </xf>
    <xf numFmtId="0" fontId="58" fillId="0" borderId="6" xfId="0" applyFont="1" applyBorder="1" applyAlignment="1">
      <alignment horizontal="center" vertical="center" wrapText="1"/>
    </xf>
    <xf numFmtId="0" fontId="58" fillId="0" borderId="6" xfId="0" applyFont="1" applyBorder="1" applyAlignment="1">
      <alignment horizontal="left" vertical="center" wrapText="1"/>
    </xf>
    <xf numFmtId="0" fontId="59" fillId="0" borderId="6" xfId="0" applyFont="1" applyBorder="1" applyAlignment="1">
      <alignment horizontal="left" vertical="center" wrapText="1"/>
    </xf>
    <xf numFmtId="0" fontId="59" fillId="0" borderId="17" xfId="0" applyFont="1" applyBorder="1" applyAlignment="1">
      <alignment vertical="center" wrapText="1"/>
    </xf>
    <xf numFmtId="0" fontId="42" fillId="0" borderId="17" xfId="0" applyFont="1" applyBorder="1" applyAlignment="1">
      <alignment vertical="center" wrapText="1"/>
    </xf>
    <xf numFmtId="0" fontId="28" fillId="0" borderId="6" xfId="0" applyFont="1" applyBorder="1" applyAlignment="1">
      <alignment vertical="center" wrapText="1"/>
    </xf>
    <xf numFmtId="0" fontId="28" fillId="0" borderId="17" xfId="0" applyFont="1" applyBorder="1" applyAlignment="1">
      <alignment vertical="center" wrapText="1"/>
    </xf>
    <xf numFmtId="0" fontId="0" fillId="0" borderId="17" xfId="0" applyBorder="1" applyAlignment="1">
      <alignment vertical="center" wrapText="1"/>
    </xf>
    <xf numFmtId="0" fontId="60" fillId="0" borderId="17" xfId="0" applyFont="1" applyBorder="1" applyAlignment="1">
      <alignment vertical="center" wrapText="1"/>
    </xf>
    <xf numFmtId="0" fontId="28" fillId="0" borderId="52" xfId="0" applyFont="1" applyBorder="1" applyAlignment="1">
      <alignment vertical="center" wrapText="1"/>
    </xf>
    <xf numFmtId="0" fontId="19" fillId="0" borderId="52" xfId="0" applyFont="1" applyBorder="1" applyAlignment="1">
      <alignment horizontal="left" vertical="center" wrapText="1"/>
    </xf>
    <xf numFmtId="0" fontId="28" fillId="0" borderId="53" xfId="0" applyFont="1" applyBorder="1" applyAlignment="1">
      <alignment vertical="center" wrapText="1"/>
    </xf>
    <xf numFmtId="0" fontId="4" fillId="0" borderId="0" xfId="54" applyNumberFormat="1" applyFill="1" applyBorder="1" applyAlignment="1">
      <alignment vertical="center"/>
    </xf>
    <xf numFmtId="0" fontId="61" fillId="0" borderId="54" xfId="51" applyFill="1" applyAlignment="1">
      <alignment vertical="center"/>
    </xf>
    <xf numFmtId="3" fontId="62" fillId="9" borderId="55" xfId="52" applyNumberFormat="1" applyFont="1" applyAlignment="1">
      <alignment horizontal="right" vertical="center"/>
    </xf>
    <xf numFmtId="3" fontId="48" fillId="0" borderId="56" xfId="54" applyNumberFormat="1" applyFont="1" applyBorder="1" applyAlignment="1" applyProtection="1">
      <alignment vertical="center"/>
      <protection hidden="1"/>
    </xf>
    <xf numFmtId="184" fontId="48" fillId="0" borderId="57" xfId="56" applyNumberFormat="1" applyFont="1" applyBorder="1" applyAlignment="1" applyProtection="1">
      <alignment horizontal="right" vertical="center"/>
      <protection hidden="1"/>
    </xf>
    <xf numFmtId="0" fontId="48" fillId="10" borderId="57" xfId="54" applyFont="1" applyFill="1" applyBorder="1" applyAlignment="1" applyProtection="1">
      <alignment horizontal="center" vertical="center"/>
      <protection hidden="1"/>
    </xf>
    <xf numFmtId="0" fontId="48" fillId="11" borderId="57" xfId="54" applyFont="1" applyFill="1" applyBorder="1" applyAlignment="1" applyProtection="1">
      <alignment horizontal="center" vertical="center"/>
      <protection hidden="1"/>
    </xf>
    <xf numFmtId="0" fontId="21" fillId="12" borderId="58" xfId="54" applyFont="1" applyFill="1" applyBorder="1" applyAlignment="1" applyProtection="1">
      <alignment vertical="center"/>
      <protection hidden="1"/>
    </xf>
    <xf numFmtId="0" fontId="21" fillId="12" borderId="0" xfId="54" applyFont="1" applyFill="1" applyAlignment="1" applyProtection="1">
      <alignment vertical="center"/>
      <protection hidden="1"/>
    </xf>
    <xf numFmtId="0" fontId="21" fillId="10" borderId="0" xfId="55" applyFont="1" applyFill="1" applyAlignment="1" applyProtection="1">
      <alignment horizontal="center" vertical="center"/>
      <protection hidden="1"/>
    </xf>
    <xf numFmtId="0" fontId="21" fillId="11" borderId="0" xfId="55" applyFont="1" applyFill="1" applyAlignment="1" applyProtection="1">
      <alignment horizontal="center" vertical="center"/>
      <protection hidden="1"/>
    </xf>
    <xf numFmtId="0" fontId="21" fillId="13" borderId="58" xfId="54" applyFont="1" applyFill="1" applyBorder="1" applyAlignment="1" applyProtection="1">
      <alignment vertical="center"/>
      <protection hidden="1"/>
    </xf>
    <xf numFmtId="0" fontId="21" fillId="13" borderId="0" xfId="54" applyFont="1" applyFill="1" applyAlignment="1" applyProtection="1">
      <alignment vertical="center"/>
      <protection hidden="1"/>
    </xf>
    <xf numFmtId="0" fontId="21" fillId="7" borderId="59" xfId="57" applyFont="1" applyAlignment="1" applyProtection="1">
      <alignment horizontal="center" vertical="center"/>
      <protection hidden="1"/>
    </xf>
    <xf numFmtId="0" fontId="21" fillId="14" borderId="58" xfId="54" applyFont="1" applyFill="1" applyBorder="1" applyAlignment="1" applyProtection="1">
      <alignment vertical="center"/>
      <protection hidden="1"/>
    </xf>
    <xf numFmtId="0" fontId="21" fillId="14" borderId="0" xfId="54" applyFont="1" applyFill="1" applyAlignment="1" applyProtection="1">
      <alignment vertical="center"/>
      <protection hidden="1"/>
    </xf>
    <xf numFmtId="0" fontId="63" fillId="4" borderId="60" xfId="50" applyFont="1" applyBorder="1" applyAlignment="1" applyProtection="1">
      <alignment horizontal="right"/>
      <protection hidden="1"/>
    </xf>
    <xf numFmtId="0" fontId="63" fillId="4" borderId="61" xfId="50" applyFont="1" applyBorder="1" applyAlignment="1" applyProtection="1">
      <alignment horizontal="right"/>
      <protection hidden="1"/>
    </xf>
    <xf numFmtId="0" fontId="64" fillId="15" borderId="58" xfId="54" applyFont="1" applyFill="1" applyBorder="1" applyAlignment="1" applyProtection="1">
      <alignment vertical="center"/>
      <protection hidden="1"/>
    </xf>
    <xf numFmtId="0" fontId="64" fillId="15" borderId="0" xfId="54" applyFont="1" applyFill="1" applyAlignment="1">
      <alignment vertical="center"/>
    </xf>
    <xf numFmtId="0" fontId="63" fillId="4" borderId="62" xfId="50" applyFont="1" applyBorder="1" applyAlignment="1">
      <alignment horizontal="right"/>
    </xf>
    <xf numFmtId="0" fontId="63" fillId="4" borderId="0" xfId="50" applyFont="1" applyBorder="1" applyAlignment="1">
      <alignment horizontal="right"/>
    </xf>
    <xf numFmtId="0" fontId="65" fillId="16" borderId="63" xfId="54" applyFont="1" applyFill="1" applyBorder="1" applyAlignment="1" applyProtection="1">
      <alignment horizontal="right" vertical="center"/>
      <protection hidden="1"/>
    </xf>
    <xf numFmtId="0" fontId="66" fillId="16" borderId="64" xfId="56" applyFont="1" applyFill="1" applyBorder="1" applyAlignment="1" applyProtection="1">
      <alignment vertical="center"/>
      <protection hidden="1"/>
    </xf>
    <xf numFmtId="0" fontId="64" fillId="16" borderId="64" xfId="55" applyFont="1" applyFill="1" applyBorder="1" applyAlignment="1" applyProtection="1">
      <alignment horizontal="center" vertical="center"/>
      <protection hidden="1"/>
    </xf>
    <xf numFmtId="0" fontId="0" fillId="0" borderId="0" xfId="58" applyAlignment="1">
      <alignment vertical="center"/>
    </xf>
    <xf numFmtId="0" fontId="48" fillId="12" borderId="57" xfId="54" applyFont="1" applyFill="1" applyBorder="1" applyAlignment="1" applyProtection="1">
      <alignment horizontal="center" vertical="center"/>
      <protection hidden="1"/>
    </xf>
    <xf numFmtId="0" fontId="48" fillId="17" borderId="57" xfId="54" applyFont="1" applyFill="1" applyBorder="1" applyAlignment="1" applyProtection="1">
      <alignment horizontal="center" vertical="center"/>
      <protection hidden="1"/>
    </xf>
    <xf numFmtId="0" fontId="48" fillId="17" borderId="65" xfId="54" applyFont="1" applyFill="1" applyBorder="1" applyAlignment="1" applyProtection="1">
      <alignment horizontal="center" vertical="center"/>
      <protection hidden="1"/>
    </xf>
    <xf numFmtId="0" fontId="21" fillId="12" borderId="0" xfId="55" applyFont="1" applyFill="1" applyAlignment="1" applyProtection="1">
      <alignment horizontal="center" vertical="center"/>
      <protection hidden="1"/>
    </xf>
    <xf numFmtId="0" fontId="21" fillId="17" borderId="0" xfId="55" applyFont="1" applyFill="1" applyAlignment="1" applyProtection="1">
      <alignment horizontal="center" vertical="center"/>
      <protection hidden="1"/>
    </xf>
    <xf numFmtId="0" fontId="21" fillId="17" borderId="66" xfId="55" applyFont="1" applyFill="1" applyBorder="1" applyAlignment="1" applyProtection="1">
      <alignment horizontal="center" vertical="center"/>
      <protection hidden="1"/>
    </xf>
    <xf numFmtId="0" fontId="63" fillId="4" borderId="67" xfId="50" applyFont="1" applyBorder="1" applyAlignment="1" applyProtection="1">
      <alignment horizontal="right"/>
      <protection hidden="1"/>
    </xf>
    <xf numFmtId="0" fontId="63" fillId="4" borderId="68" xfId="50" applyFont="1" applyBorder="1" applyAlignment="1">
      <alignment horizontal="right"/>
    </xf>
    <xf numFmtId="0" fontId="64" fillId="16" borderId="69" xfId="55" applyFont="1" applyFill="1" applyBorder="1" applyAlignment="1" applyProtection="1">
      <alignment horizontal="center" vertical="center"/>
      <protection hidden="1"/>
    </xf>
    <xf numFmtId="0" fontId="67" fillId="0" borderId="0" xfId="0" applyNumberFormat="1" applyFont="1" applyFill="1" applyBorder="1" applyAlignment="1">
      <alignment wrapText="1"/>
    </xf>
    <xf numFmtId="0" fontId="68" fillId="0" borderId="0" xfId="0" applyNumberFormat="1" applyFont="1" applyFill="1" applyBorder="1" applyAlignment="1">
      <alignment horizontal="center"/>
    </xf>
    <xf numFmtId="0" fontId="68" fillId="0" borderId="0" xfId="0" applyNumberFormat="1" applyFont="1" applyFill="1" applyBorder="1" applyAlignment="1">
      <alignment horizontal="center" vertical="center"/>
    </xf>
    <xf numFmtId="0" fontId="68" fillId="0" borderId="0" xfId="0" applyNumberFormat="1" applyFont="1" applyFill="1" applyBorder="1">
      <alignment vertical="center"/>
    </xf>
    <xf numFmtId="0" fontId="69" fillId="0" borderId="0" xfId="0" applyFont="1" applyAlignment="1">
      <alignment horizontal="left" vertical="center"/>
    </xf>
    <xf numFmtId="0" fontId="70" fillId="0" borderId="0" xfId="0" applyFont="1" applyAlignment="1">
      <alignment horizontal="left" vertical="center"/>
    </xf>
    <xf numFmtId="0" fontId="67" fillId="0" borderId="0" xfId="0" applyFont="1" applyAlignment="1">
      <alignment horizontal="center" wrapText="1"/>
    </xf>
    <xf numFmtId="0" fontId="67" fillId="0" borderId="6" xfId="0" applyFont="1" applyBorder="1" applyAlignment="1">
      <alignment horizontal="center" vertical="center" wrapText="1"/>
    </xf>
    <xf numFmtId="0" fontId="68" fillId="0" borderId="0" xfId="0" applyFont="1" applyAlignment="1">
      <alignment horizontal="center" vertical="center"/>
    </xf>
    <xf numFmtId="0" fontId="68" fillId="0" borderId="6" xfId="0" applyFont="1" applyBorder="1" applyAlignment="1">
      <alignment horizontal="center" vertical="center"/>
    </xf>
    <xf numFmtId="2" fontId="68" fillId="0" borderId="6" xfId="0" applyNumberFormat="1" applyFont="1" applyBorder="1" applyAlignment="1">
      <alignment horizontal="center" vertical="center"/>
    </xf>
    <xf numFmtId="185" fontId="68" fillId="0" borderId="6" xfId="0" applyNumberFormat="1" applyFont="1" applyBorder="1" applyAlignment="1">
      <alignment horizontal="center" vertical="center"/>
    </xf>
    <xf numFmtId="0" fontId="67" fillId="0" borderId="43" xfId="0" applyFont="1" applyBorder="1" applyAlignment="1">
      <alignment horizontal="center" vertical="center"/>
    </xf>
    <xf numFmtId="0" fontId="67" fillId="0" borderId="38" xfId="0" applyFont="1" applyBorder="1" applyAlignment="1">
      <alignment horizontal="center" vertical="center"/>
    </xf>
    <xf numFmtId="0" fontId="68" fillId="0" borderId="6" xfId="0" applyFont="1" applyBorder="1" applyAlignment="1" applyProtection="1">
      <alignment horizontal="center" vertical="center"/>
      <protection locked="0"/>
    </xf>
    <xf numFmtId="0" fontId="67" fillId="0" borderId="33" xfId="0" applyFont="1" applyBorder="1" applyAlignment="1">
      <alignment horizontal="center" vertical="center"/>
    </xf>
    <xf numFmtId="0" fontId="67" fillId="0" borderId="6" xfId="0" applyFont="1" applyBorder="1" applyAlignment="1">
      <alignment horizontal="center" vertical="center"/>
    </xf>
    <xf numFmtId="185" fontId="67" fillId="0" borderId="6" xfId="0" applyNumberFormat="1" applyFont="1" applyBorder="1" applyAlignment="1">
      <alignment horizontal="center" vertical="center"/>
    </xf>
    <xf numFmtId="49" fontId="21" fillId="0" borderId="0" xfId="59" applyNumberFormat="1" applyFont="1" applyFill="1" applyBorder="1" applyAlignment="1">
      <alignment horizontal="center" vertical="center"/>
    </xf>
    <xf numFmtId="0" fontId="0" fillId="0" borderId="0" xfId="0" applyAlignment="1">
      <alignment horizontal="center" vertical="center"/>
    </xf>
    <xf numFmtId="49" fontId="71" fillId="0" borderId="0" xfId="0" applyNumberFormat="1" applyFont="1" applyAlignment="1">
      <alignment horizontal="center" vertical="center"/>
    </xf>
    <xf numFmtId="49" fontId="7" fillId="0" borderId="0" xfId="0" applyNumberFormat="1" applyFont="1" applyAlignment="1">
      <alignment horizontal="left" vertical="center"/>
    </xf>
    <xf numFmtId="0" fontId="21" fillId="0" borderId="0" xfId="0" applyFont="1" applyAlignment="1">
      <alignment horizontal="left" vertical="center"/>
    </xf>
    <xf numFmtId="0" fontId="7" fillId="0" borderId="70" xfId="0" applyFont="1" applyBorder="1" applyAlignment="1">
      <alignment horizontal="left" vertical="center"/>
    </xf>
    <xf numFmtId="0" fontId="72" fillId="0" borderId="0" xfId="0" applyFont="1" applyAlignment="1">
      <alignment horizontal="left" vertical="center"/>
    </xf>
    <xf numFmtId="0" fontId="73" fillId="0" borderId="0" xfId="0" applyFont="1" applyAlignment="1">
      <alignment horizontal="left" vertical="center"/>
    </xf>
    <xf numFmtId="0" fontId="74" fillId="0" borderId="0" xfId="0" applyFont="1" applyAlignment="1">
      <alignment horizontal="left" vertical="center"/>
    </xf>
    <xf numFmtId="0" fontId="18" fillId="0" borderId="0" xfId="0" applyFont="1" applyAlignment="1">
      <alignment horizontal="center" vertical="center"/>
    </xf>
    <xf numFmtId="49" fontId="7" fillId="0" borderId="0" xfId="0" applyNumberFormat="1" applyFont="1" applyAlignment="1">
      <alignment horizontal="center" vertical="center"/>
    </xf>
    <xf numFmtId="0" fontId="21" fillId="0" borderId="0" xfId="0" applyFont="1" applyAlignment="1">
      <alignment horizontal="center" vertical="center"/>
    </xf>
    <xf numFmtId="0" fontId="75" fillId="0" borderId="0" xfId="0" applyFont="1" applyAlignment="1">
      <alignment horizontal="left" vertical="center"/>
    </xf>
    <xf numFmtId="0" fontId="76" fillId="0" borderId="0" xfId="0" applyFont="1" applyAlignment="1">
      <alignment horizontal="left" vertical="center"/>
    </xf>
    <xf numFmtId="0" fontId="76" fillId="8" borderId="71" xfId="0" applyFont="1" applyFill="1" applyBorder="1" applyAlignment="1">
      <alignment horizontal="left" vertical="center"/>
    </xf>
    <xf numFmtId="0" fontId="77" fillId="0" borderId="72" xfId="0" applyFont="1" applyBorder="1" applyAlignment="1">
      <alignment vertical="center" wrapText="1"/>
    </xf>
    <xf numFmtId="0" fontId="78" fillId="0" borderId="0" xfId="0" applyFont="1" applyAlignment="1">
      <alignment horizontal="left" vertical="center"/>
    </xf>
    <xf numFmtId="0" fontId="79" fillId="0" borderId="0" xfId="0" applyFont="1" applyAlignment="1">
      <alignment horizontal="left" vertical="center"/>
    </xf>
    <xf numFmtId="0" fontId="17" fillId="0" borderId="0" xfId="0" applyFont="1" applyAlignment="1">
      <alignment horizontal="left" vertical="center"/>
    </xf>
    <xf numFmtId="0" fontId="80" fillId="0" borderId="0" xfId="0" applyFont="1" applyAlignment="1">
      <alignment horizontal="left" vertical="center"/>
    </xf>
    <xf numFmtId="0" fontId="81" fillId="0" borderId="0" xfId="6" applyFont="1" applyAlignment="1">
      <alignment horizontal="center" vertical="center"/>
    </xf>
    <xf numFmtId="0" fontId="10" fillId="0" borderId="73" xfId="0" applyFont="1" applyBorder="1" applyAlignment="1">
      <alignment horizontal="center" vertical="center"/>
    </xf>
    <xf numFmtId="49" fontId="12" fillId="0" borderId="0" xfId="59" applyNumberFormat="1" applyFont="1" applyFill="1" applyBorder="1" applyAlignment="1">
      <alignment horizontal="center" vertical="center"/>
    </xf>
    <xf numFmtId="0" fontId="16" fillId="0" borderId="74" xfId="0" applyFont="1" applyBorder="1" applyAlignment="1">
      <alignment vertical="center"/>
    </xf>
    <xf numFmtId="0" fontId="16" fillId="0" borderId="75" xfId="0" applyFont="1" applyBorder="1" applyAlignment="1">
      <alignment vertical="center"/>
    </xf>
    <xf numFmtId="0" fontId="7" fillId="3" borderId="0" xfId="0" applyFont="1" applyFill="1" applyAlignment="1">
      <alignment horizontal="center" vertical="center"/>
    </xf>
    <xf numFmtId="0" fontId="7" fillId="0" borderId="74" xfId="0" applyFont="1" applyBorder="1" applyAlignment="1">
      <alignment vertical="center"/>
    </xf>
    <xf numFmtId="0" fontId="7" fillId="0" borderId="75" xfId="0" applyFont="1" applyBorder="1" applyAlignment="1">
      <alignment vertical="center"/>
    </xf>
    <xf numFmtId="186" fontId="7" fillId="0" borderId="0" xfId="0" applyNumberFormat="1" applyFont="1" applyAlignment="1">
      <alignment horizontal="left" vertical="center"/>
    </xf>
    <xf numFmtId="0" fontId="82" fillId="0" borderId="0" xfId="0" applyFont="1" applyAlignment="1">
      <alignment horizontal="left" vertical="center"/>
    </xf>
    <xf numFmtId="0" fontId="18" fillId="3" borderId="0" xfId="0" applyFont="1" applyFill="1" applyAlignment="1">
      <alignment horizontal="center" vertical="center"/>
    </xf>
    <xf numFmtId="0" fontId="7" fillId="0" borderId="0" xfId="0" applyFont="1" applyAlignment="1">
      <alignment vertical="center"/>
    </xf>
    <xf numFmtId="0" fontId="74" fillId="0" borderId="0" xfId="0" applyFont="1" applyAlignment="1">
      <alignment vertical="center"/>
    </xf>
    <xf numFmtId="0" fontId="74" fillId="0" borderId="73" xfId="0" applyFont="1" applyBorder="1" applyAlignment="1">
      <alignment vertical="center"/>
    </xf>
    <xf numFmtId="0" fontId="18" fillId="0" borderId="0" xfId="0" applyFont="1" applyAlignment="1">
      <alignment horizontal="left" vertical="center"/>
    </xf>
    <xf numFmtId="0" fontId="14" fillId="0" borderId="73" xfId="0" applyFont="1" applyBorder="1" applyAlignment="1">
      <alignment horizontal="center" vertical="center"/>
    </xf>
    <xf numFmtId="0" fontId="7" fillId="0" borderId="73" xfId="0" applyFont="1" applyBorder="1" applyAlignment="1">
      <alignment horizontal="center" vertical="center"/>
    </xf>
    <xf numFmtId="0" fontId="21" fillId="0" borderId="6" xfId="53" applyFont="1" applyBorder="1" applyAlignment="1">
      <alignment horizontal="center" vertical="center"/>
    </xf>
    <xf numFmtId="0" fontId="0" fillId="0" borderId="0" xfId="0" quotePrefix="1">
      <alignment vertical="center"/>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千位分隔 2" xfId="49"/>
    <cellStyle name="Calculation 2" xfId="50"/>
    <cellStyle name="Heading 2 2" xfId="51"/>
    <cellStyle name="Input 2" xfId="52"/>
    <cellStyle name="Normal" xfId="53"/>
    <cellStyle name="Normal 3" xfId="54"/>
    <cellStyle name="Normal_Dichso" xfId="55"/>
    <cellStyle name="Normal_DocSoUnicode" xfId="56"/>
    <cellStyle name="Note 2" xfId="57"/>
    <cellStyle name="常规 3" xfId="58"/>
    <cellStyle name="常规 68" xfId="59"/>
    <cellStyle name="常规 2 26" xfId="60"/>
    <cellStyle name="常规 2 25" xfId="61"/>
    <cellStyle name="常规 2" xfId="62"/>
    <cellStyle name="百分比 2" xfId="63"/>
  </cellStyles>
  <dxfs count="19">
    <dxf>
      <fill>
        <patternFill patternType="solid">
          <bgColor rgb="FFFF9900"/>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eetMetadata" Target="metadata.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83820</xdr:colOff>
      <xdr:row>0</xdr:row>
      <xdr:rowOff>66675</xdr:rowOff>
    </xdr:from>
    <xdr:to>
      <xdr:col>5</xdr:col>
      <xdr:colOff>649605</xdr:colOff>
      <xdr:row>0</xdr:row>
      <xdr:rowOff>295275</xdr:rowOff>
    </xdr:to>
    <xdr:sp>
      <xdr:nvSpPr>
        <xdr:cNvPr id="10" name="Arrow: Left 2"/>
        <xdr:cNvSpPr/>
      </xdr:nvSpPr>
      <xdr:spPr>
        <a:xfrm>
          <a:off x="5376545" y="66675"/>
          <a:ext cx="565785" cy="2286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39</xdr:col>
      <xdr:colOff>19050</xdr:colOff>
      <xdr:row>57</xdr:row>
      <xdr:rowOff>57150</xdr:rowOff>
    </xdr:from>
    <xdr:to>
      <xdr:col>43</xdr:col>
      <xdr:colOff>1390650</xdr:colOff>
      <xdr:row>86</xdr:row>
      <xdr:rowOff>209550</xdr:rowOff>
    </xdr:to>
    <xdr:sp>
      <xdr:nvSpPr>
        <xdr:cNvPr id="9" name="TextBox 1"/>
        <xdr:cNvSpPr txBox="1"/>
      </xdr:nvSpPr>
      <xdr:spPr>
        <a:xfrm>
          <a:off x="61500385" y="14839315"/>
          <a:ext cx="7946390" cy="7592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zh-CN" altLang="en-US" sz="1200" b="0" baseline="0">
              <a:latin typeface="等线" panose="02010600030101010101" pitchFamily="2" charset="-122"/>
              <a:ea typeface="等线" panose="02010600030101010101" pitchFamily="2" charset="-122"/>
              <a:cs typeface="Arial Unicode MS" pitchFamily="2" charset="-122"/>
            </a:rPr>
            <a:t>成交确认书填写注意事项</a:t>
          </a:r>
          <a:r>
            <a:rPr lang="en-US" altLang="zh-CN" sz="1200" b="0">
              <a:latin typeface="等线" panose="02010600030101010101" pitchFamily="2" charset="-122"/>
              <a:ea typeface="等线" panose="02010600030101010101" pitchFamily="2" charset="-122"/>
              <a:cs typeface="Arial Unicode MS" pitchFamily="2" charset="-122"/>
            </a:rPr>
            <a:t>-</a:t>
          </a:r>
          <a:r>
            <a:rPr lang="zh-CN" altLang="en-US" sz="1200" b="0">
              <a:solidFill>
                <a:srgbClr val="FF0066"/>
              </a:solidFill>
              <a:latin typeface="等线" panose="02010600030101010101" pitchFamily="2" charset="-122"/>
              <a:ea typeface="等线" panose="02010600030101010101" pitchFamily="2" charset="-122"/>
              <a:cs typeface="Arial Unicode MS" pitchFamily="2" charset="-122"/>
            </a:rPr>
            <a:t>截单日回传时请整份回传，不要删除任何表格！！！</a:t>
          </a:r>
          <a:endParaRPr lang="en-US" altLang="zh-CN" sz="1200" b="0">
            <a:solidFill>
              <a:srgbClr val="FF0066"/>
            </a:solidFill>
            <a:latin typeface="等线" panose="02010600030101010101" pitchFamily="2" charset="-122"/>
            <a:ea typeface="等线" panose="02010600030101010101" pitchFamily="2" charset="-122"/>
            <a:cs typeface="Arial Unicode MS" pitchFamily="2" charset="-122"/>
          </a:endParaRPr>
        </a:p>
        <a:p>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1. </a:t>
          </a:r>
          <a:r>
            <a:rPr lang="zh-CN" altLang="en-US" sz="1200" b="0">
              <a:latin typeface="等线" panose="02010600030101010101" pitchFamily="2" charset="-122"/>
              <a:ea typeface="等线" panose="02010600030101010101" pitchFamily="2" charset="-122"/>
              <a:cs typeface="Arial Unicode MS" pitchFamily="2" charset="-122"/>
            </a:rPr>
            <a:t>仅需对</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solidFill>
                <a:srgbClr val="FF0000"/>
              </a:solidFill>
              <a:latin typeface="等线" panose="02010600030101010101" pitchFamily="2" charset="-122"/>
              <a:ea typeface="等线" panose="02010600030101010101" pitchFamily="2" charset="-122"/>
              <a:cs typeface="Arial Unicode MS" pitchFamily="2" charset="-122"/>
            </a:rPr>
            <a:t>产品订单</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latin typeface="等线" panose="02010600030101010101" pitchFamily="2" charset="-122"/>
              <a:ea typeface="等线" panose="02010600030101010101" pitchFamily="2" charset="-122"/>
              <a:cs typeface="Arial Unicode MS" pitchFamily="2" charset="-122"/>
            </a:rPr>
            <a:t>和</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solidFill>
                <a:srgbClr val="FF0000"/>
              </a:solidFill>
              <a:latin typeface="等线" panose="02010600030101010101" pitchFamily="2" charset="-122"/>
              <a:ea typeface="等线" panose="02010600030101010101" pitchFamily="2" charset="-122"/>
              <a:cs typeface="Arial Unicode MS" pitchFamily="2" charset="-122"/>
            </a:rPr>
            <a:t>三品订单</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latin typeface="等线" panose="02010600030101010101" pitchFamily="2" charset="-122"/>
              <a:ea typeface="等线" panose="02010600030101010101" pitchFamily="2" charset="-122"/>
              <a:cs typeface="Arial Unicode MS" pitchFamily="2" charset="-122"/>
            </a:rPr>
            <a:t>两份工作簿进行内容填写，</a:t>
          </a:r>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    </a:t>
          </a:r>
          <a:r>
            <a:rPr lang="zh-CN" altLang="en-US" sz="1200" b="0">
              <a:latin typeface="等线" panose="02010600030101010101" pitchFamily="2" charset="-122"/>
              <a:ea typeface="等线" panose="02010600030101010101" pitchFamily="2" charset="-122"/>
              <a:cs typeface="Arial Unicode MS" pitchFamily="2" charset="-122"/>
            </a:rPr>
            <a:t>其他四份工作簿会自动生成数据，无需编辑，请知悉。</a:t>
          </a:r>
          <a:endParaRPr lang="en-US" altLang="zh-CN" sz="1200" b="0">
            <a:latin typeface="等线" panose="02010600030101010101" pitchFamily="2" charset="-122"/>
            <a:ea typeface="等线" panose="02010600030101010101" pitchFamily="2" charset="-122"/>
            <a:cs typeface="Arial Unicode MS" pitchFamily="2" charset="-122"/>
          </a:endParaRPr>
        </a:p>
        <a:p>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2. </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solidFill>
                <a:srgbClr val="FF0000"/>
              </a:solidFill>
              <a:latin typeface="等线" panose="02010600030101010101" pitchFamily="2" charset="-122"/>
              <a:ea typeface="等线" panose="02010600030101010101" pitchFamily="2" charset="-122"/>
              <a:cs typeface="Arial Unicode MS" pitchFamily="2" charset="-122"/>
            </a:rPr>
            <a:t>产品订单</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latin typeface="等线" panose="02010600030101010101" pitchFamily="2" charset="-122"/>
              <a:ea typeface="等线" panose="02010600030101010101" pitchFamily="2" charset="-122"/>
              <a:cs typeface="Arial Unicode MS" pitchFamily="2" charset="-122"/>
            </a:rPr>
            <a:t>界面只需要填写蓝色框的信息和产赠品数量。</a:t>
          </a:r>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    </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solidFill>
                <a:srgbClr val="FF0000"/>
              </a:solidFill>
              <a:latin typeface="等线" panose="02010600030101010101" pitchFamily="2" charset="-122"/>
              <a:ea typeface="等线" panose="02010600030101010101" pitchFamily="2" charset="-122"/>
              <a:cs typeface="Arial Unicode MS" pitchFamily="2" charset="-122"/>
            </a:rPr>
            <a:t>三品订单</a:t>
          </a:r>
          <a:r>
            <a:rPr lang="en-US" altLang="zh-CN" sz="1200" b="0">
              <a:solidFill>
                <a:srgbClr val="FF0000"/>
              </a:solidFill>
              <a:latin typeface="等线" panose="02010600030101010101" pitchFamily="2" charset="-122"/>
              <a:ea typeface="等线" panose="02010600030101010101" pitchFamily="2" charset="-122"/>
              <a:cs typeface="Arial Unicode MS" pitchFamily="2" charset="-122"/>
            </a:rPr>
            <a:t>】</a:t>
          </a:r>
          <a:r>
            <a:rPr lang="zh-CN" altLang="en-US" sz="1200" b="0">
              <a:latin typeface="等线" panose="02010600030101010101" pitchFamily="2" charset="-122"/>
              <a:ea typeface="等线" panose="02010600030101010101" pitchFamily="2" charset="-122"/>
              <a:cs typeface="Arial Unicode MS" pitchFamily="2" charset="-122"/>
            </a:rPr>
            <a:t>界面只需要填写三品的数量</a:t>
          </a:r>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      PS</a:t>
          </a:r>
          <a:r>
            <a:rPr lang="zh-CN" altLang="en-US" sz="1200" b="0">
              <a:latin typeface="等线" panose="02010600030101010101" pitchFamily="2" charset="-122"/>
              <a:ea typeface="等线" panose="02010600030101010101" pitchFamily="2" charset="-122"/>
              <a:cs typeface="Arial Unicode MS" pitchFamily="2" charset="-122"/>
            </a:rPr>
            <a:t>：三品换货：所选三品库存不足的情况下，出口营运会根据业务经理的选择进行操作。</a:t>
          </a:r>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     </a:t>
          </a:r>
          <a:r>
            <a:rPr lang="zh-CN" altLang="en-US" sz="1200" b="0">
              <a:latin typeface="等线" panose="02010600030101010101" pitchFamily="2" charset="-122"/>
              <a:ea typeface="等线" panose="02010600030101010101" pitchFamily="2" charset="-122"/>
              <a:cs typeface="Arial Unicode MS" pitchFamily="2" charset="-122"/>
            </a:rPr>
            <a:t>如接受换货，会直接换成同类型其他三品，如果同类型三品全部缺货，会另行沟通。</a:t>
          </a:r>
          <a:endParaRPr lang="en-US" altLang="zh-CN" sz="1200" b="0">
            <a:latin typeface="等线" panose="02010600030101010101" pitchFamily="2" charset="-122"/>
            <a:ea typeface="等线" panose="02010600030101010101" pitchFamily="2" charset="-122"/>
            <a:cs typeface="Arial Unicode MS" pitchFamily="2" charset="-122"/>
          </a:endParaRPr>
        </a:p>
        <a:p>
          <a:r>
            <a:rPr lang="zh-CN" altLang="en-US" sz="1200" b="0">
              <a:latin typeface="等线" panose="02010600030101010101" pitchFamily="2" charset="-122"/>
              <a:ea typeface="等线" panose="02010600030101010101" pitchFamily="2" charset="-122"/>
              <a:cs typeface="Arial Unicode MS" pitchFamily="2" charset="-122"/>
            </a:rPr>
            <a:t>     如不接受换货或者不作选择，直接取消发三品。</a:t>
          </a:r>
          <a:endParaRPr lang="en-US" altLang="zh-CN" sz="1200" b="0">
            <a:latin typeface="等线" panose="02010600030101010101" pitchFamily="2" charset="-122"/>
            <a:ea typeface="等线" panose="02010600030101010101" pitchFamily="2" charset="-122"/>
            <a:cs typeface="Arial Unicode MS" pitchFamily="2" charset="-122"/>
          </a:endParaRPr>
        </a:p>
        <a:p>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3.</a:t>
          </a:r>
          <a:r>
            <a:rPr lang="zh-CN" altLang="en-US" sz="1200" b="0">
              <a:latin typeface="等线" panose="02010600030101010101" pitchFamily="2" charset="-122"/>
              <a:ea typeface="等线" panose="02010600030101010101" pitchFamily="2" charset="-122"/>
              <a:cs typeface="Arial Unicode MS" pitchFamily="2" charset="-122"/>
            </a:rPr>
            <a:t>订单备注栏： 如有特殊要求，请在订单备注栏做好说明（装箱顺序或其他订单要求）</a:t>
          </a:r>
          <a:endParaRPr lang="en-US" altLang="zh-CN" sz="1200" b="0">
            <a:latin typeface="等线" panose="02010600030101010101" pitchFamily="2" charset="-122"/>
            <a:ea typeface="等线" panose="02010600030101010101" pitchFamily="2" charset="-122"/>
            <a:cs typeface="Arial Unicode MS" pitchFamily="2" charset="-122"/>
          </a:endParaRPr>
        </a:p>
        <a:p>
          <a:endParaRPr lang="en-US" altLang="zh-CN" sz="1200" b="0">
            <a:latin typeface="等线" panose="02010600030101010101" pitchFamily="2" charset="-122"/>
            <a:ea typeface="等线" panose="02010600030101010101" pitchFamily="2" charset="-122"/>
            <a:cs typeface="Arial Unicode MS" pitchFamily="2" charset="-122"/>
          </a:endParaRPr>
        </a:p>
        <a:p>
          <a:r>
            <a:rPr lang="en-US" altLang="zh-CN" sz="1200" b="0">
              <a:latin typeface="等线" panose="02010600030101010101" pitchFamily="2" charset="-122"/>
              <a:ea typeface="等线" panose="02010600030101010101" pitchFamily="2" charset="-122"/>
              <a:cs typeface="Arial Unicode MS" pitchFamily="2" charset="-122"/>
            </a:rPr>
            <a:t>4. </a:t>
          </a:r>
          <a:r>
            <a:rPr lang="zh-CN" altLang="en-US" sz="1200" b="0">
              <a:latin typeface="等线" panose="02010600030101010101" pitchFamily="2" charset="-122"/>
              <a:ea typeface="等线" panose="02010600030101010101" pitchFamily="2" charset="-122"/>
              <a:cs typeface="Arial Unicode MS" pitchFamily="2" charset="-122"/>
            </a:rPr>
            <a:t>新客户第一次下单，请一并提供喷码要求和单证要求，避免延误订单生产。</a:t>
          </a:r>
          <a:endParaRPr lang="en-US" altLang="zh-CN" sz="1200" b="0">
            <a:latin typeface="等线" panose="02010600030101010101" pitchFamily="2" charset="-122"/>
            <a:ea typeface="等线" panose="02010600030101010101" pitchFamily="2" charset="-122"/>
            <a:cs typeface="Arial Unicode MS" pitchFamily="2"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nh_sach_khach_hang.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nh sách khách hàng"/>
      <sheetName val="Sheet2"/>
      <sheetName val="Sheet1"/>
    </sheetNames>
    <sheetDataSet>
      <sheetData sheetId="0">
        <row r="4">
          <cell r="B4" t="str">
            <v>Mã khách hàng</v>
          </cell>
          <cell r="C4" t="str">
            <v>Tên khách hàng</v>
          </cell>
          <cell r="D4" t="str">
            <v>MST/CCCD chủ hộ</v>
          </cell>
          <cell r="E4" t="str">
            <v>MSĐVCQHVNS</v>
          </cell>
          <cell r="F4" t="str">
            <v>Căn cước công dân</v>
          </cell>
          <cell r="G4" t="str">
            <v>Địa chỉ</v>
          </cell>
        </row>
        <row r="5">
          <cell r="B5">
            <v>2141010110</v>
          </cell>
          <cell r="C5" t="str">
            <v>CÔNG TY TNHH ĐẦU TƯ VÀ THƯƠNG MẠI ĐỒNG TÂM</v>
          </cell>
          <cell r="D5" t="str">
            <v>0105032376</v>
          </cell>
          <cell r="E5" t="str">
            <v/>
          </cell>
          <cell r="F5" t="str">
            <v/>
          </cell>
          <cell r="G5" t="str">
            <v>Số 12, ngách 12, ngõ 23, phố Bồ Đề, tổ 5, Phường Bồ Đề, TP Hà Nội, Việt Nam.</v>
          </cell>
        </row>
        <row r="6">
          <cell r="B6">
            <v>2141010050</v>
          </cell>
          <cell r="C6" t="str">
            <v>CÔNG TY TNHH THƯƠNG MẠI XUẤT NHẬP KHẨU TUẤN PHƯƠNG</v>
          </cell>
          <cell r="D6" t="str">
            <v>0108272471</v>
          </cell>
          <cell r="E6" t="str">
            <v/>
          </cell>
          <cell r="F6" t="str">
            <v/>
          </cell>
          <cell r="G6" t="str">
            <v>Số 77 Phố Hàm Tử Quan, Phường Phúc Tân, Quận Hoàn Kiếm, Thành phố Hà Nội, Việt Nam</v>
          </cell>
        </row>
        <row r="7">
          <cell r="B7">
            <v>2141010051</v>
          </cell>
          <cell r="C7" t="str">
            <v>ĐOÀN THỊ ÁNH HỒNG</v>
          </cell>
          <cell r="D7" t="str">
            <v>2600917627</v>
          </cell>
          <cell r="E7" t="str">
            <v/>
          </cell>
          <cell r="F7" t="str">
            <v/>
          </cell>
          <cell r="G7" t="str">
            <v>Khu 8, Xã Phù Ninh, Huyện Phù Ninh, Tỉnh Phú Thọ, Việt Nam</v>
          </cell>
        </row>
        <row r="8">
          <cell r="B8">
            <v>2141010070</v>
          </cell>
          <cell r="C8" t="str">
            <v>CÔNG TY TNHH THƯƠNG MẠI DỊCH VỤ XUẤT NHẬP KHẨU VIỆT FOODS</v>
          </cell>
          <cell r="D8" t="str">
            <v>0110615246</v>
          </cell>
          <cell r="E8" t="str">
            <v/>
          </cell>
          <cell r="F8" t="str">
            <v/>
          </cell>
          <cell r="G8" t="str">
            <v>Thôn Đông Trạch, Xã Nam Phù, TP Hà Nội, Việt Nam.</v>
          </cell>
        </row>
        <row r="9">
          <cell r="B9">
            <v>2141010080</v>
          </cell>
          <cell r="C9" t="str">
            <v>CÔNG TY TNHH ĐẦU TƯ THƯƠNG MẠI TOÀN ĐỨC</v>
          </cell>
          <cell r="D9" t="str">
            <v>0106667555</v>
          </cell>
          <cell r="E9" t="str">
            <v/>
          </cell>
          <cell r="F9" t="str">
            <v/>
          </cell>
          <cell r="G9" t="str">
            <v>Số 5, ngõ 2 phố Đại Linh, Phường Đại Mỗ, TP Hà Nội, Việt Nam.</v>
          </cell>
        </row>
        <row r="10">
          <cell r="B10">
            <v>2141010090</v>
          </cell>
          <cell r="C10" t="str">
            <v>CÔNG TY TNHH THƯƠNG MẠI DỊCH VỤ XUẤT NHẬP KHẨU VIỆT FOODS</v>
          </cell>
          <cell r="D10" t="str">
            <v>0110615246</v>
          </cell>
          <cell r="E10" t="str">
            <v/>
          </cell>
          <cell r="F10" t="str">
            <v/>
          </cell>
          <cell r="G10" t="str">
            <v>Thôn Đông Trạch, Xã Nam Phù, TP Hà Nội, Việt Nam</v>
          </cell>
        </row>
        <row r="11">
          <cell r="B11">
            <v>2141010100</v>
          </cell>
          <cell r="C11" t="str">
            <v>CÔNG TY TNHH SẢN XUẤT THƯƠNG MẠI VÀ DỊCH VỤ AN KHUÊ</v>
          </cell>
          <cell r="D11" t="str">
            <v>0110318349</v>
          </cell>
          <cell r="E11" t="str">
            <v/>
          </cell>
          <cell r="F11" t="str">
            <v/>
          </cell>
          <cell r="G11" t="str">
            <v>Số 36, Đường Long Biên 2, Phường Bồ Đề, TP Hà Nội, Việt Nam.</v>
          </cell>
        </row>
        <row r="12">
          <cell r="B12">
            <v>2141010120</v>
          </cell>
          <cell r="C12" t="str">
            <v>CÔNG TY TNHH CUNG CẤP THỰC PHẨM MỸ VIỆT</v>
          </cell>
          <cell r="D12" t="str">
            <v>0110189527</v>
          </cell>
          <cell r="E12" t="str">
            <v/>
          </cell>
          <cell r="F12" t="str">
            <v/>
          </cell>
          <cell r="G12" t="str">
            <v>Kiot 19-20-21 Tòa CT9 Khu đô thị Định Công, Phường Phương Liệt, TP Hà Nội, Việt Nam.</v>
          </cell>
        </row>
        <row r="13">
          <cell r="B13">
            <v>2141010130</v>
          </cell>
          <cell r="C13" t="str">
            <v>CÔNG TY CỔ PHẦN THƯƠNG MẠI VÀ DỊCH VỤ SƠN THỦY PHÁT</v>
          </cell>
          <cell r="D13" t="str">
            <v>0105021487</v>
          </cell>
          <cell r="E13" t="str">
            <v/>
          </cell>
          <cell r="F13" t="str">
            <v/>
          </cell>
          <cell r="G13" t="str">
            <v>Số 7, hẻm 823/19/2 đường Hồng Hà, Phường Hồng Hà, TP Hà Nội, Việt Nam.</v>
          </cell>
        </row>
        <row r="14">
          <cell r="B14">
            <v>2141020020</v>
          </cell>
          <cell r="C14" t="str">
            <v>CÔNG TY TNHH THƯƠNG MẠI - THỰC PHẨM VINH PHÁT</v>
          </cell>
          <cell r="D14" t="str">
            <v>0310487418</v>
          </cell>
          <cell r="E14" t="str">
            <v/>
          </cell>
          <cell r="F14" t="str">
            <v/>
          </cell>
          <cell r="G14" t="str">
            <v>450/1 Hòa Hảo, Phường Diên Hồng, TP Hồ Chí Minh, Việt Nam.</v>
          </cell>
        </row>
        <row r="15">
          <cell r="B15">
            <v>2141020030</v>
          </cell>
          <cell r="C15" t="str">
            <v>CÔNG TY CỔ PHẦN HỮU HẠN VEDAN VIỆT NAM</v>
          </cell>
          <cell r="D15" t="str">
            <v>3600239719</v>
          </cell>
          <cell r="E15" t="str">
            <v/>
          </cell>
          <cell r="F15" t="str">
            <v/>
          </cell>
          <cell r="G15" t="str">
            <v>Quốc lộ 51, Ấp 1A, Xã Phước Thái, Đồng Nai, Việt Nam.</v>
          </cell>
        </row>
        <row r="16">
          <cell r="B16">
            <v>2141020110</v>
          </cell>
          <cell r="C16" t="str">
            <v>CÔNG TY TNHH THƯƠNG MẠI HOÀNG THIÊN PHÁT</v>
          </cell>
          <cell r="D16" t="str">
            <v>0316353410</v>
          </cell>
          <cell r="E16" t="str">
            <v/>
          </cell>
          <cell r="F16" t="str">
            <v/>
          </cell>
          <cell r="G16" t="str">
            <v>387 Phan Văn Trị, Phường Bình Lợi Trung, TP Hồ Chí Minh, Việt Nam.</v>
          </cell>
        </row>
        <row r="17">
          <cell r="B17">
            <v>2141020130</v>
          </cell>
          <cell r="C17" t="str">
            <v>CÔNG TY TNHH THƯƠNG MẠI DỊCH VỤ VÀ SẢN XUẤT TRÍ VIỆT PHÁT</v>
          </cell>
          <cell r="D17" t="str">
            <v>0312096843</v>
          </cell>
          <cell r="E17" t="str">
            <v/>
          </cell>
          <cell r="F17" t="str">
            <v/>
          </cell>
          <cell r="G17" t="str">
            <v>Số 81 Đường Tân Hòa 2, Khu phố 24, Phường Tăng Nhơn Phú, TP Hồ Chí Minh, Việt Nam.</v>
          </cell>
        </row>
        <row r="18">
          <cell r="B18">
            <v>2141020140</v>
          </cell>
          <cell r="C18" t="str">
            <v>CÔNG TY TNHH MỘT THÀNH VIÊN XUẤT NHẬP KHẨU PHONG VÂN</v>
          </cell>
          <cell r="D18" t="str">
            <v>0310196137</v>
          </cell>
          <cell r="E18" t="str">
            <v/>
          </cell>
          <cell r="F18" t="str">
            <v/>
          </cell>
          <cell r="G18" t="str">
            <v>20 Huỳnh Thị Bảy, Ấp 1, Xã Tân Nhựt, TP Hồ Chí Minh, Việt Nam.</v>
          </cell>
        </row>
        <row r="19">
          <cell r="B19">
            <v>2141020150</v>
          </cell>
          <cell r="C19" t="str">
            <v>CÔNG TY CỔ PHẦN NOSAFOOD</v>
          </cell>
          <cell r="D19" t="str">
            <v>0303841040</v>
          </cell>
          <cell r="E19" t="str">
            <v/>
          </cell>
          <cell r="F19" t="str">
            <v/>
          </cell>
          <cell r="G19" t="str">
            <v>E4/20 Nguyễn Hữu Trí, Thị Trấn Tân Túc, Huyện Bình Chánh, Thành phố Hồ Chí Minh, Việt Nam</v>
          </cell>
        </row>
        <row r="20">
          <cell r="B20">
            <v>2141020160</v>
          </cell>
          <cell r="C20" t="str">
            <v>CÔNG TY CỔ PHẦN NOSAFOOD</v>
          </cell>
          <cell r="D20" t="str">
            <v>0303841040</v>
          </cell>
          <cell r="E20" t="str">
            <v/>
          </cell>
          <cell r="F20" t="str">
            <v/>
          </cell>
          <cell r="G20" t="str">
            <v>E4/20 Nguyễn Hữu Trí, Xã Tân Nhựt, Thành phố Hồ Chí Minh, Việt Nam.</v>
          </cell>
        </row>
        <row r="21">
          <cell r="B21">
            <v>2141020190</v>
          </cell>
          <cell r="C21" t="str">
            <v>CÔNG TY CỔ PHẦN HÓA CHẤT Á CHÂU</v>
          </cell>
          <cell r="D21" t="str">
            <v>0304918352</v>
          </cell>
          <cell r="E21" t="str">
            <v/>
          </cell>
          <cell r="F21" t="str">
            <v/>
          </cell>
          <cell r="G21" t="str">
            <v>Lô K4B khu công nghiệp Lê Minh Xuân, Đường Số 4, Xã Bình Lợi, TP Hồ Chí Minh, Việt Nam.</v>
          </cell>
        </row>
        <row r="22">
          <cell r="B22">
            <v>2141030020</v>
          </cell>
          <cell r="C22" t="str">
            <v>CÔNG TY TNHH MTV XUẤT NHẬP KHẨU HƯƠNG THỊNH LS</v>
          </cell>
          <cell r="D22" t="str">
            <v>4900905841</v>
          </cell>
          <cell r="E22" t="str">
            <v/>
          </cell>
          <cell r="F22" t="str">
            <v/>
          </cell>
          <cell r="G22" t="str">
            <v>Số 132 đường Trần Phú, Phường Kỳ Lừa, Tỉnh Lạng Sơn, Việt Nam.</v>
          </cell>
        </row>
        <row r="23">
          <cell r="B23">
            <v>2141030030</v>
          </cell>
          <cell r="C23" t="str">
            <v>CÔNG TY TNHH KINH DOANH THƯƠNG MẠI THANH THANH</v>
          </cell>
          <cell r="D23" t="str">
            <v>4900891726</v>
          </cell>
          <cell r="E23" t="str">
            <v/>
          </cell>
          <cell r="F23" t="str">
            <v/>
          </cell>
          <cell r="G23" t="str">
            <v>Số 164, đường Hoàng Văn Thụ, khu Lò Rèn, Thị trấn Đồng Đăng, Huyện Cao Lộc, Tỉnh Lạng Sơn, Việt Nam</v>
          </cell>
        </row>
        <row r="24">
          <cell r="B24">
            <v>2141030060</v>
          </cell>
          <cell r="C24" t="str">
            <v>CÔNG TY TNHH KINH DOANH TỔNG HỢP HÀ THANH</v>
          </cell>
          <cell r="D24" t="str">
            <v>4900918008</v>
          </cell>
          <cell r="E24" t="str">
            <v/>
          </cell>
          <cell r="F24" t="str">
            <v/>
          </cell>
          <cell r="G24" t="str">
            <v>Số 75, đường Hoàng Văn Thụ, khu Lò Rèn, Xã Đồng Đăng, Lạng Sơn, Việt Nam.</v>
          </cell>
        </row>
        <row r="25">
          <cell r="B25">
            <v>2141040020</v>
          </cell>
          <cell r="C25" t="str">
            <v>CÔNG TY TNHH XUẤT NHẬP KHẨU MINH DUYÊN</v>
          </cell>
          <cell r="D25" t="str">
            <v>5300836228</v>
          </cell>
          <cell r="E25" t="str">
            <v/>
          </cell>
          <cell r="F25" t="str">
            <v/>
          </cell>
          <cell r="G25" t="str">
            <v>Số nhà 073, Thôn Hồng Giang, Phường Lào Cai, Lào Cai, Việt Nam.</v>
          </cell>
        </row>
        <row r="26">
          <cell r="B26">
            <v>2141050030</v>
          </cell>
          <cell r="C26" t="str">
            <v>CÔNG TY TNHH RAU QUẢ BÌNH MINH VIỆT NAM</v>
          </cell>
          <cell r="D26" t="str">
            <v>0201640232</v>
          </cell>
          <cell r="E26" t="str">
            <v/>
          </cell>
          <cell r="F26" t="str">
            <v/>
          </cell>
          <cell r="G26" t="str">
            <v>Tờ bản đồ số 15, Tổ dân phố Hạ, Phường An Hưng, Quận Hồng Bàng, Thành phố Hải Phòng, Việt Nam</v>
          </cell>
        </row>
        <row r="27">
          <cell r="B27">
            <v>2141070020</v>
          </cell>
          <cell r="C27" t="str">
            <v>CÔNG TY TNHH MTV THƯƠNG MẠI DỊCH VỤ THÔNG ĐẠT PHÁT</v>
          </cell>
          <cell r="D27" t="str">
            <v>3603857255</v>
          </cell>
          <cell r="E27" t="str">
            <v/>
          </cell>
          <cell r="F27" t="str">
            <v/>
          </cell>
          <cell r="G27" t="str">
            <v>19/5A, tổ 20, Khu Phố 3, Phường Bửu Long, Thành phố Biên Hoà, Tỉnh Đồng Nai, Việt Nam</v>
          </cell>
        </row>
        <row r="28">
          <cell r="B28">
            <v>2141090020</v>
          </cell>
          <cell r="C28" t="str">
            <v>VŨ ĐỨC QUÝ</v>
          </cell>
          <cell r="D28" t="str">
            <v/>
          </cell>
          <cell r="E28" t="str">
            <v/>
          </cell>
          <cell r="F28" t="str">
            <v/>
          </cell>
          <cell r="G28" t="str">
            <v>Ngõ 276, khối 1 , Vĩnh Tân , thành phố Vinh, Nghệ An</v>
          </cell>
        </row>
        <row r="29">
          <cell r="B29">
            <v>2141100020</v>
          </cell>
          <cell r="C29" t="str">
            <v>CÔNG TY TNHH THIÊN LONG PHÁT VN</v>
          </cell>
          <cell r="D29" t="str">
            <v>3703171766</v>
          </cell>
          <cell r="E29" t="str">
            <v/>
          </cell>
          <cell r="F29" t="str">
            <v/>
          </cell>
          <cell r="G29" t="str">
            <v>Số 170A, Đường Số 1, Khu 2, Phường Hoà Phú, Thành phố Thủ Dầu Một, Tỉnh Bình Dương, Việt Nam</v>
          </cell>
        </row>
        <row r="30">
          <cell r="B30">
            <v>2141100030</v>
          </cell>
          <cell r="C30" t="str">
            <v>CÔNG TY TNHH THƯƠNG MẠI LIN KE</v>
          </cell>
          <cell r="D30" t="str">
            <v>3703139459</v>
          </cell>
          <cell r="E30" t="str">
            <v/>
          </cell>
          <cell r="F30" t="str">
            <v/>
          </cell>
          <cell r="G30" t="str">
            <v>HT1-1B Lô F8,F9, Đường Bùi Thị Xuân, Khu Đô Thị Mới, Phường Bình Dương, TP Hồ Chí Minh, Việt Nam.</v>
          </cell>
        </row>
        <row r="31">
          <cell r="B31">
            <v>2141110010</v>
          </cell>
          <cell r="C31" t="str">
            <v>NGUYỄN THỊ KIỀU TRANG</v>
          </cell>
          <cell r="D31" t="str">
            <v>8712031066-001</v>
          </cell>
          <cell r="E31" t="str">
            <v/>
          </cell>
          <cell r="F31" t="str">
            <v/>
          </cell>
          <cell r="G31" t="str">
            <v>Số 77, Nguyễn Tất Thành, Phường Khai Quang, Thành phố Vĩnh Yên, Tỉnh Vĩnh Phúc, Việt Nam</v>
          </cell>
        </row>
        <row r="32">
          <cell r="B32">
            <v>2141110020</v>
          </cell>
          <cell r="C32" t="str">
            <v>CÔNG TY TNHH THƯƠNG MẠI HUỆ GIA</v>
          </cell>
          <cell r="D32" t="str">
            <v>2500728577</v>
          </cell>
          <cell r="E32" t="str">
            <v/>
          </cell>
          <cell r="F32" t="str">
            <v/>
          </cell>
          <cell r="G32" t="str">
            <v>Số 136, đường Tôn Đức Thắng, Phường Vĩnh Phúc, Phú Thọ, Việt Nam.</v>
          </cell>
        </row>
        <row r="33">
          <cell r="B33">
            <v>2141120010</v>
          </cell>
          <cell r="C33" t="str">
            <v>CÔNG TY CỔ PHẦN KEKI VIỆT NAM</v>
          </cell>
          <cell r="D33" t="str">
            <v>0801249246</v>
          </cell>
          <cell r="E33" t="str">
            <v/>
          </cell>
          <cell r="F33" t="str">
            <v/>
          </cell>
          <cell r="G33" t="str">
            <v>Thửa đất số 1488, tờ bản đồ số 09, Xã Thanh Miện, TP Hải Phòng, Việt Nam.</v>
          </cell>
        </row>
        <row r="34">
          <cell r="B34">
            <v>2141120020</v>
          </cell>
          <cell r="C34" t="str">
            <v>Công Ty TNHH Mtv An Quân Hải Dương</v>
          </cell>
          <cell r="D34" t="str">
            <v>0801179630</v>
          </cell>
          <cell r="E34" t="str">
            <v/>
          </cell>
          <cell r="F34" t="str">
            <v/>
          </cell>
          <cell r="G34" t="str">
            <v>Số nhà 13/75 Bùi Thị Xuân, Phường Lê Thanh Nghị, TP Hải Phòng, Việt Nam.</v>
          </cell>
        </row>
        <row r="35">
          <cell r="B35">
            <v>2141130010</v>
          </cell>
          <cell r="C35" t="str">
            <v>CÔNG TY TNHH POP AQUA</v>
          </cell>
          <cell r="D35" t="str">
            <v>2400944895</v>
          </cell>
          <cell r="E35" t="str">
            <v/>
          </cell>
          <cell r="F35" t="str">
            <v/>
          </cell>
          <cell r="G35" t="str">
            <v>Số nhà 17, Tổ dân phố số 3, Phường Đa Mai, Bắc Ninh, Việt Nam.</v>
          </cell>
        </row>
        <row r="36">
          <cell r="B36">
            <v>2141140010</v>
          </cell>
          <cell r="C36" t="str">
            <v>CÔNG TY TNHH KINH DOANH THƯƠNG MẠI THU HƯƠNG</v>
          </cell>
          <cell r="D36" t="str">
            <v>0601287156</v>
          </cell>
          <cell r="E36" t="str">
            <v/>
          </cell>
          <cell r="F36" t="str">
            <v/>
          </cell>
          <cell r="G36" t="str">
            <v>Số 16 đường Hưng Yên, Phường Nam Định, Ninh Bình, Việt Nam.</v>
          </cell>
        </row>
        <row r="37">
          <cell r="B37">
            <v>2141160010</v>
          </cell>
          <cell r="C37" t="str">
            <v>CÔNG TY TNHH THÁI ĐÔNG HƯNG</v>
          </cell>
          <cell r="D37" t="str">
            <v>0401493641</v>
          </cell>
          <cell r="E37" t="str">
            <v/>
          </cell>
          <cell r="F37" t="str">
            <v/>
          </cell>
          <cell r="G37" t="str">
            <v>130 Phạm Đình Hổ, Phường Thanh Khê, TP Đà Nẵng, Việt Nam.</v>
          </cell>
        </row>
        <row r="38">
          <cell r="B38">
            <v>2141170010</v>
          </cell>
          <cell r="C38" t="str">
            <v>CÔNG TY TNHH BẢO PHƯƠNG LÂM</v>
          </cell>
          <cell r="D38" t="str">
            <v>0111304719</v>
          </cell>
          <cell r="E38" t="str">
            <v/>
          </cell>
          <cell r="F38" t="str">
            <v/>
          </cell>
          <cell r="G38" t="str">
            <v>NO13-LK13-04, Khu đất dịch vụ LK8, LK9, LK10, LK15, LK21, LK23, LK24, LK26, C6, TH17 đường Nguyễn Thanh Bình, Phường Hà Đông, TP Hà Nội, Việt Nam.</v>
          </cell>
        </row>
        <row r="39">
          <cell r="B39">
            <v>2141180010</v>
          </cell>
          <cell r="C39" t="str">
            <v>CÔNG TY TNHH XUẤT NHẬP KHẨU VÀ THƯƠNG MẠI AN BÌNH PHÁT</v>
          </cell>
          <cell r="D39" t="str">
            <v>0110903413</v>
          </cell>
          <cell r="E39" t="str">
            <v/>
          </cell>
          <cell r="F39" t="str">
            <v/>
          </cell>
          <cell r="G39" t="str">
            <v>Số 344 đường Hà Huy Tập, Xã Phù Đổng, TP Hà Nội, Việt Nam.</v>
          </cell>
        </row>
        <row r="40">
          <cell r="B40">
            <v>2141190020</v>
          </cell>
          <cell r="C40" t="str">
            <v>CÔNG TY TNHH THƯƠNG MẠI VÀ DỊCH VỤ QUYẾN CHI</v>
          </cell>
          <cell r="D40" t="str">
            <v>2301335973</v>
          </cell>
          <cell r="E40" t="str">
            <v/>
          </cell>
          <cell r="F40" t="str">
            <v/>
          </cell>
          <cell r="G40" t="str">
            <v>Xóm Già A, Khu 3, Phường Vũ Ninh, Bắc Ninh, Việt Nam.</v>
          </cell>
        </row>
        <row r="41">
          <cell r="B41">
            <v>2141290010</v>
          </cell>
          <cell r="C41" t="str">
            <v>CÔNG TY TNHH XUẤT NHẬP KHẨU HOÀN PHÁT MC</v>
          </cell>
          <cell r="D41" t="str">
            <v>5702163540</v>
          </cell>
          <cell r="E41" t="str">
            <v/>
          </cell>
          <cell r="F41" t="str">
            <v/>
          </cell>
          <cell r="G41" t="str">
            <v>SN B11, S17 Khu Đô Thị Phượng Hoàng, Thôn 13, Phường Móng Cái 1, Quảng Ninh, Việt Nam.</v>
          </cell>
        </row>
        <row r="42">
          <cell r="B42">
            <v>2141190010</v>
          </cell>
          <cell r="C42" t="str">
            <v>CÔNG TY TNHH XNK PHÚC LỘC BG</v>
          </cell>
          <cell r="D42" t="str">
            <v>2401061878</v>
          </cell>
          <cell r="E42" t="str">
            <v/>
          </cell>
          <cell r="F42" t="str">
            <v/>
          </cell>
          <cell r="G42" t="str">
            <v>Đường Nguyễn Thái Học, Tổ Dân Phố Xóm Ba, Phường Đa Mai, Bắc Ninh, Việt Nam.</v>
          </cell>
        </row>
        <row r="43">
          <cell r="B43" t="str">
            <v>216XXXXXX</v>
          </cell>
          <cell r="C43" t="str">
            <v>CÔNG TY TNHH XUẤT NHẬP KHẨU THƯƠNG MẠI THANH HÀ</v>
          </cell>
          <cell r="D43" t="str">
            <v>4900938484</v>
          </cell>
          <cell r="E43" t="str">
            <v/>
          </cell>
          <cell r="F43" t="str">
            <v/>
          </cell>
          <cell r="G43" t="str">
            <v>Số nhà 238, đường Nam Quan, thôn Dây Thép, Xã Đồng Đăng, Lạng Sơn, Việt Nam.</v>
          </cell>
        </row>
      </sheetData>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mailto:hoang@dora.vn&#65307;Huy.nguyen@dora.vn" TargetMode="External"/><Relationship Id="rId6" Type="http://schemas.openxmlformats.org/officeDocument/2006/relationships/hyperlink" Target="http://kieutrang281097@gmail.com" TargetMode="External"/><Relationship Id="rId5" Type="http://schemas.openxmlformats.org/officeDocument/2006/relationships/hyperlink" Target="http://lanhuonght88.hp@gmail.com" TargetMode="External"/><Relationship Id="rId4" Type="http://schemas.openxmlformats.org/officeDocument/2006/relationships/hyperlink" Target="http://salesdongtamfood@gmail.com" TargetMode="External"/><Relationship Id="rId3" Type="http://schemas.openxmlformats.org/officeDocument/2006/relationships/hyperlink" Target="http://hanhchinh@nosafood.com" TargetMode="External"/><Relationship Id="rId2" Type="http://schemas.openxmlformats.org/officeDocument/2006/relationships/hyperlink" Target="http://toanducfood@gmail.com" TargetMode="External"/><Relationship Id="rId1" Type="http://schemas.openxmlformats.org/officeDocument/2006/relationships/hyperlink" Target="http://Hoangthienphat368@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49"/>
  <sheetViews>
    <sheetView zoomScale="80" zoomScaleNormal="80" topLeftCell="AA1" workbookViewId="0">
      <selection activeCell="AD10" sqref="AD10"/>
    </sheetView>
  </sheetViews>
  <sheetFormatPr defaultColWidth="8.93333333333333" defaultRowHeight="15"/>
  <cols>
    <col min="1" max="1" width="8.93333333333333" style="49"/>
    <col min="2" max="2" width="11.6666666666667" style="49" customWidth="1"/>
    <col min="3" max="3" width="30.7333333333333" style="50" customWidth="1"/>
    <col min="4" max="4" width="60" style="49" customWidth="1"/>
    <col min="5" max="5" width="60.475" style="49" customWidth="1"/>
    <col min="6" max="6" width="7.525" style="49" customWidth="1"/>
    <col min="7" max="7" width="19" style="49" customWidth="1"/>
    <col min="8" max="8" width="87.3666666666667" style="429" customWidth="1"/>
    <col min="9" max="12" width="18.6666666666667" style="49" customWidth="1"/>
    <col min="13" max="13" width="16.2666666666667" style="49" customWidth="1"/>
    <col min="14" max="14" width="88.2" style="49" hidden="1" customWidth="1"/>
    <col min="15" max="15" width="11.6666666666667" style="49" hidden="1" customWidth="1"/>
    <col min="16" max="16" width="12.9333333333333" style="49" hidden="1" customWidth="1"/>
    <col min="17" max="17" width="47.9333333333333" style="49" hidden="1" customWidth="1"/>
    <col min="18" max="18" width="24.9333333333333" style="49" customWidth="1"/>
    <col min="19" max="19" width="8.93333333333333" style="49" customWidth="1"/>
    <col min="20" max="20" width="13.9333333333333" style="49" customWidth="1"/>
    <col min="21" max="21" width="29.3333333333333" style="49" customWidth="1"/>
    <col min="22" max="22" width="11.6666666666667" style="49" customWidth="1"/>
    <col min="23" max="23" width="41.6666666666667" style="49" customWidth="1"/>
    <col min="24" max="24" width="27.525" style="49" customWidth="1"/>
    <col min="25" max="25" width="18.0666666666667" style="49" customWidth="1"/>
    <col min="26" max="26" width="32.2666666666667" style="49" customWidth="1"/>
    <col min="27" max="27" width="11.6666666666667" style="49" customWidth="1"/>
    <col min="28" max="29" width="8.93333333333333" style="49" customWidth="1"/>
    <col min="30" max="30" width="53.35" style="49" customWidth="1"/>
    <col min="31" max="31" width="49.5083333333333" style="49" customWidth="1"/>
    <col min="32" max="32" width="30.7333333333333" style="49" customWidth="1"/>
    <col min="33" max="39" width="8.93333333333333" style="49"/>
    <col min="40" max="16384" width="8.93333333333333" style="430"/>
  </cols>
  <sheetData>
    <row r="1" ht="15.75" spans="1:36">
      <c r="A1" s="51" t="s">
        <v>0</v>
      </c>
      <c r="B1" s="51" t="s">
        <v>1</v>
      </c>
      <c r="C1" s="52" t="s">
        <v>2</v>
      </c>
      <c r="D1" s="51" t="s">
        <v>3</v>
      </c>
      <c r="E1" s="51" t="s">
        <v>4</v>
      </c>
      <c r="F1" s="51" t="s">
        <v>5</v>
      </c>
      <c r="G1" s="51" t="s">
        <v>6</v>
      </c>
      <c r="H1" s="431" t="s">
        <v>7</v>
      </c>
      <c r="I1" s="51" t="s">
        <v>8</v>
      </c>
      <c r="J1" s="439" t="s">
        <v>9</v>
      </c>
      <c r="K1" s="51" t="s">
        <v>10</v>
      </c>
      <c r="L1" s="439" t="s">
        <v>11</v>
      </c>
      <c r="M1" s="51" t="s">
        <v>12</v>
      </c>
      <c r="N1" s="51" t="s">
        <v>13</v>
      </c>
      <c r="O1" s="51" t="s">
        <v>14</v>
      </c>
      <c r="P1" s="51" t="s">
        <v>15</v>
      </c>
      <c r="Q1" s="51" t="s">
        <v>16</v>
      </c>
      <c r="R1" s="51" t="s">
        <v>17</v>
      </c>
      <c r="S1" s="51" t="s">
        <v>18</v>
      </c>
      <c r="T1" s="51" t="s">
        <v>19</v>
      </c>
      <c r="U1" s="51" t="s">
        <v>20</v>
      </c>
      <c r="V1" s="51" t="s">
        <v>21</v>
      </c>
      <c r="W1" s="51" t="s">
        <v>1</v>
      </c>
      <c r="X1" s="51" t="s">
        <v>22</v>
      </c>
      <c r="Y1" s="51" t="s">
        <v>22</v>
      </c>
      <c r="Z1" s="51" t="s">
        <v>23</v>
      </c>
      <c r="AA1" s="51" t="s">
        <v>24</v>
      </c>
      <c r="AB1" s="51" t="s">
        <v>25</v>
      </c>
      <c r="AC1" s="51" t="s">
        <v>26</v>
      </c>
      <c r="AD1" s="450" t="s">
        <v>27</v>
      </c>
      <c r="AE1" s="51" t="s">
        <v>28</v>
      </c>
      <c r="AF1" s="451" t="s">
        <v>29</v>
      </c>
      <c r="AG1" s="464"/>
      <c r="AH1" s="464"/>
      <c r="AI1" s="464"/>
      <c r="AJ1" s="53"/>
    </row>
    <row r="2" ht="15.75" spans="1:39">
      <c r="A2" s="53">
        <v>1</v>
      </c>
      <c r="B2" s="53">
        <v>2141010050</v>
      </c>
      <c r="C2" s="54" t="s">
        <v>30</v>
      </c>
      <c r="D2" s="54" t="s">
        <v>31</v>
      </c>
      <c r="E2" s="54" t="s">
        <v>32</v>
      </c>
      <c r="F2" s="60" t="s">
        <v>33</v>
      </c>
      <c r="G2" s="432" t="s">
        <v>34</v>
      </c>
      <c r="H2" s="433" t="s">
        <v>35</v>
      </c>
      <c r="I2" s="432" t="s">
        <v>36</v>
      </c>
      <c r="J2" s="54" t="s">
        <v>37</v>
      </c>
      <c r="K2" s="54" t="s">
        <v>38</v>
      </c>
      <c r="L2" s="54" t="s">
        <v>39</v>
      </c>
      <c r="M2" s="60" t="s">
        <v>40</v>
      </c>
      <c r="N2" s="54" t="s">
        <v>41</v>
      </c>
      <c r="O2" s="54" t="s">
        <v>42</v>
      </c>
      <c r="P2" s="54" t="s">
        <v>43</v>
      </c>
      <c r="Q2" s="54" t="s">
        <v>44</v>
      </c>
      <c r="R2" s="60" t="s">
        <v>45</v>
      </c>
      <c r="S2" s="54"/>
      <c r="T2" s="54"/>
      <c r="U2" s="54"/>
      <c r="V2" s="54"/>
      <c r="W2" s="54">
        <f>B2</f>
        <v>2141010050</v>
      </c>
      <c r="X2" s="54" t="s">
        <v>46</v>
      </c>
      <c r="Y2" s="60" t="s">
        <v>47</v>
      </c>
      <c r="Z2" s="54" t="s">
        <v>48</v>
      </c>
      <c r="AA2" s="60" t="s">
        <v>49</v>
      </c>
      <c r="AB2" s="54"/>
      <c r="AC2" s="54" t="s">
        <v>50</v>
      </c>
      <c r="AD2" s="452" t="s">
        <v>51</v>
      </c>
      <c r="AE2" s="453"/>
      <c r="AF2" s="454" t="s">
        <v>52</v>
      </c>
      <c r="AG2" s="465" t="str">
        <f>VLOOKUP(B2,'[1]Danh sách khách hàng'!$B:$G,6,FALSE)</f>
        <v>Số 77 Phố Hàm Tử Quan, Phường Phúc Tân, Quận Hoàn Kiếm, Thành phố Hà Nội, Việt Nam</v>
      </c>
      <c r="AH2" s="465"/>
      <c r="AI2" s="465"/>
      <c r="AJ2" s="53"/>
      <c r="AK2" s="53"/>
      <c r="AL2" s="53"/>
      <c r="AM2" s="53"/>
    </row>
    <row r="3" ht="15.75" spans="1:39">
      <c r="A3" s="53">
        <v>2</v>
      </c>
      <c r="B3" s="53">
        <v>2141050030</v>
      </c>
      <c r="C3" s="54" t="s">
        <v>53</v>
      </c>
      <c r="D3" s="54" t="s">
        <v>54</v>
      </c>
      <c r="E3" s="54" t="s">
        <v>55</v>
      </c>
      <c r="F3" s="60" t="s">
        <v>56</v>
      </c>
      <c r="G3" s="432" t="s">
        <v>57</v>
      </c>
      <c r="H3" s="433" t="s">
        <v>58</v>
      </c>
      <c r="I3" s="432" t="s">
        <v>59</v>
      </c>
      <c r="J3" s="54" t="s">
        <v>60</v>
      </c>
      <c r="K3" s="54" t="s">
        <v>61</v>
      </c>
      <c r="L3" s="54" t="s">
        <v>39</v>
      </c>
      <c r="M3" s="60" t="s">
        <v>40</v>
      </c>
      <c r="N3" s="54" t="s">
        <v>62</v>
      </c>
      <c r="O3" s="54" t="s">
        <v>63</v>
      </c>
      <c r="P3" s="54" t="s">
        <v>64</v>
      </c>
      <c r="Q3" s="54" t="s">
        <v>65</v>
      </c>
      <c r="R3" s="60" t="s">
        <v>66</v>
      </c>
      <c r="S3" s="54"/>
      <c r="T3" s="54"/>
      <c r="U3" s="54"/>
      <c r="V3" s="54" t="s">
        <v>67</v>
      </c>
      <c r="W3" s="54">
        <f t="shared" ref="W3:W43" si="0">B3</f>
        <v>2141050030</v>
      </c>
      <c r="X3" s="54" t="s">
        <v>68</v>
      </c>
      <c r="Y3" s="60" t="s">
        <v>69</v>
      </c>
      <c r="Z3" s="54" t="s">
        <v>70</v>
      </c>
      <c r="AA3" s="60" t="s">
        <v>49</v>
      </c>
      <c r="AB3" s="54"/>
      <c r="AC3" s="54" t="s">
        <v>71</v>
      </c>
      <c r="AD3" s="452" t="s">
        <v>72</v>
      </c>
      <c r="AE3" s="453"/>
      <c r="AF3" s="454" t="s">
        <v>52</v>
      </c>
      <c r="AG3" s="465" t="str">
        <f>VLOOKUP(B3,'[1]Danh sách khách hàng'!$B:$G,6,FALSE)</f>
        <v>Tờ bản đồ số 15, Tổ dân phố Hạ, Phường An Hưng, Quận Hồng Bàng, Thành phố Hải Phòng, Việt Nam</v>
      </c>
      <c r="AH3" s="465"/>
      <c r="AI3" s="465"/>
      <c r="AJ3" s="53"/>
      <c r="AK3" s="53"/>
      <c r="AL3" s="53"/>
      <c r="AM3" s="53"/>
    </row>
    <row r="4" ht="15.75" spans="1:39">
      <c r="A4" s="53">
        <v>3</v>
      </c>
      <c r="B4" s="53">
        <v>2141020110</v>
      </c>
      <c r="C4" s="55" t="s">
        <v>73</v>
      </c>
      <c r="D4" s="54" t="s">
        <v>74</v>
      </c>
      <c r="E4" s="54" t="s">
        <v>75</v>
      </c>
      <c r="F4" s="60" t="s">
        <v>76</v>
      </c>
      <c r="G4" s="432" t="s">
        <v>77</v>
      </c>
      <c r="H4" s="433" t="s">
        <v>78</v>
      </c>
      <c r="I4" s="432" t="s">
        <v>79</v>
      </c>
      <c r="J4" s="54" t="s">
        <v>80</v>
      </c>
      <c r="K4" s="60" t="s">
        <v>81</v>
      </c>
      <c r="L4" s="54" t="s">
        <v>82</v>
      </c>
      <c r="M4" s="60" t="s">
        <v>83</v>
      </c>
      <c r="N4" s="54" t="s">
        <v>84</v>
      </c>
      <c r="O4" s="54" t="s">
        <v>85</v>
      </c>
      <c r="P4" s="54">
        <v>937778293</v>
      </c>
      <c r="Q4" s="54" t="s">
        <v>86</v>
      </c>
      <c r="R4" s="60" t="s">
        <v>87</v>
      </c>
      <c r="S4" s="60" t="s">
        <v>88</v>
      </c>
      <c r="T4" s="54" t="s">
        <v>89</v>
      </c>
      <c r="U4" s="54">
        <v>906887847</v>
      </c>
      <c r="V4" s="445" t="s">
        <v>90</v>
      </c>
      <c r="W4" s="54">
        <f t="shared" si="0"/>
        <v>2141020110</v>
      </c>
      <c r="X4" s="54" t="s">
        <v>91</v>
      </c>
      <c r="Y4" s="60" t="s">
        <v>92</v>
      </c>
      <c r="Z4" s="54" t="s">
        <v>93</v>
      </c>
      <c r="AA4" s="60" t="s">
        <v>94</v>
      </c>
      <c r="AB4" s="54"/>
      <c r="AC4" s="54"/>
      <c r="AD4" s="452" t="s">
        <v>95</v>
      </c>
      <c r="AE4" s="453"/>
      <c r="AF4" s="454" t="s">
        <v>96</v>
      </c>
      <c r="AG4" s="465" t="str">
        <f>VLOOKUP(B4,'[1]Danh sách khách hàng'!$B:$G,6,FALSE)</f>
        <v>387 Phan Văn Trị, Phường Bình Lợi Trung, TP Hồ Chí Minh, Việt Nam.</v>
      </c>
      <c r="AH4" s="465"/>
      <c r="AI4" s="465"/>
      <c r="AJ4" s="53"/>
      <c r="AK4" s="53"/>
      <c r="AL4" s="53"/>
      <c r="AM4" s="53"/>
    </row>
    <row r="5" ht="15.75" spans="1:39">
      <c r="A5" s="53">
        <v>4</v>
      </c>
      <c r="B5" s="53">
        <v>2141030020</v>
      </c>
      <c r="C5" s="55" t="s">
        <v>97</v>
      </c>
      <c r="D5" s="54" t="s">
        <v>98</v>
      </c>
      <c r="E5" s="54" t="s">
        <v>99</v>
      </c>
      <c r="F5" s="60" t="s">
        <v>100</v>
      </c>
      <c r="G5" s="432" t="s">
        <v>101</v>
      </c>
      <c r="H5" s="433" t="s">
        <v>102</v>
      </c>
      <c r="I5" s="432" t="s">
        <v>103</v>
      </c>
      <c r="J5" s="54" t="s">
        <v>104</v>
      </c>
      <c r="K5" s="54" t="s">
        <v>105</v>
      </c>
      <c r="L5" s="54" t="s">
        <v>82</v>
      </c>
      <c r="M5" s="60" t="s">
        <v>83</v>
      </c>
      <c r="N5" s="54" t="s">
        <v>106</v>
      </c>
      <c r="O5" s="54" t="s">
        <v>107</v>
      </c>
      <c r="P5" s="54">
        <v>942854827</v>
      </c>
      <c r="Q5" s="54" t="s">
        <v>108</v>
      </c>
      <c r="R5" s="60" t="s">
        <v>66</v>
      </c>
      <c r="S5" s="54"/>
      <c r="T5" s="54"/>
      <c r="U5" s="54"/>
      <c r="V5" s="54" t="s">
        <v>109</v>
      </c>
      <c r="W5" s="54">
        <f t="shared" si="0"/>
        <v>2141030020</v>
      </c>
      <c r="X5" s="54" t="s">
        <v>110</v>
      </c>
      <c r="Y5" s="60" t="s">
        <v>111</v>
      </c>
      <c r="Z5" s="54" t="s">
        <v>112</v>
      </c>
      <c r="AA5" s="60" t="s">
        <v>113</v>
      </c>
      <c r="AB5" s="54"/>
      <c r="AC5" s="54"/>
      <c r="AD5" s="452" t="s">
        <v>114</v>
      </c>
      <c r="AE5" s="453"/>
      <c r="AF5" s="454" t="s">
        <v>96</v>
      </c>
      <c r="AG5" s="465" t="str">
        <f>VLOOKUP(B5,'[1]Danh sách khách hàng'!$B:$G,6,FALSE)</f>
        <v>Số 132 đường Trần Phú, Phường Kỳ Lừa, Tỉnh Lạng Sơn, Việt Nam.</v>
      </c>
      <c r="AH5" s="465"/>
      <c r="AI5" s="465"/>
      <c r="AJ5" s="53"/>
      <c r="AK5" s="53"/>
      <c r="AL5" s="53"/>
      <c r="AM5" s="53"/>
    </row>
    <row r="6" ht="15.75" spans="1:39">
      <c r="A6" s="53">
        <v>5</v>
      </c>
      <c r="B6" s="53">
        <v>2141010070</v>
      </c>
      <c r="C6" s="54" t="s">
        <v>115</v>
      </c>
      <c r="D6" s="54" t="s">
        <v>116</v>
      </c>
      <c r="E6" s="54" t="s">
        <v>117</v>
      </c>
      <c r="F6" s="60" t="s">
        <v>118</v>
      </c>
      <c r="G6" s="432" t="s">
        <v>119</v>
      </c>
      <c r="H6" s="433" t="s">
        <v>120</v>
      </c>
      <c r="I6" s="432" t="s">
        <v>121</v>
      </c>
      <c r="J6" s="54" t="s">
        <v>122</v>
      </c>
      <c r="K6" s="54" t="s">
        <v>123</v>
      </c>
      <c r="L6" s="54" t="s">
        <v>39</v>
      </c>
      <c r="M6" s="60" t="s">
        <v>40</v>
      </c>
      <c r="N6" s="54" t="s">
        <v>41</v>
      </c>
      <c r="O6" s="54" t="s">
        <v>42</v>
      </c>
      <c r="P6" s="54" t="s">
        <v>43</v>
      </c>
      <c r="Q6" s="54" t="s">
        <v>44</v>
      </c>
      <c r="R6" s="60" t="s">
        <v>124</v>
      </c>
      <c r="S6" s="54"/>
      <c r="T6" s="54"/>
      <c r="U6" s="54"/>
      <c r="V6" s="54" t="s">
        <v>125</v>
      </c>
      <c r="W6" s="54">
        <f t="shared" si="0"/>
        <v>2141010070</v>
      </c>
      <c r="X6" s="54" t="s">
        <v>126</v>
      </c>
      <c r="Y6" s="60" t="s">
        <v>127</v>
      </c>
      <c r="Z6" s="54" t="s">
        <v>128</v>
      </c>
      <c r="AA6" s="60" t="s">
        <v>49</v>
      </c>
      <c r="AB6" s="54"/>
      <c r="AC6" s="54"/>
      <c r="AD6" s="452" t="s">
        <v>129</v>
      </c>
      <c r="AE6" s="453"/>
      <c r="AF6" s="454" t="s">
        <v>52</v>
      </c>
      <c r="AG6" s="465" t="str">
        <f>VLOOKUP(B6,'[1]Danh sách khách hàng'!$B:$G,6,FALSE)</f>
        <v>Thôn Đông Trạch, Xã Nam Phù, TP Hà Nội, Việt Nam.</v>
      </c>
      <c r="AH6" s="465"/>
      <c r="AI6" s="465"/>
      <c r="AJ6" s="53"/>
      <c r="AK6" s="53"/>
      <c r="AL6" s="53"/>
      <c r="AM6" s="53"/>
    </row>
    <row r="7" ht="15.75" spans="1:39">
      <c r="A7" s="53">
        <v>6</v>
      </c>
      <c r="B7" s="53">
        <v>2141110010</v>
      </c>
      <c r="C7" s="54" t="s">
        <v>130</v>
      </c>
      <c r="D7" s="54" t="s">
        <v>131</v>
      </c>
      <c r="E7" s="54" t="s">
        <v>132</v>
      </c>
      <c r="F7" s="60" t="s">
        <v>133</v>
      </c>
      <c r="G7" s="432" t="s">
        <v>134</v>
      </c>
      <c r="H7" s="433" t="s">
        <v>135</v>
      </c>
      <c r="I7" s="432" t="s">
        <v>136</v>
      </c>
      <c r="J7" s="54" t="s">
        <v>137</v>
      </c>
      <c r="K7" s="54" t="s">
        <v>138</v>
      </c>
      <c r="L7" s="54" t="s">
        <v>39</v>
      </c>
      <c r="M7" s="60" t="s">
        <v>40</v>
      </c>
      <c r="N7" s="54" t="s">
        <v>139</v>
      </c>
      <c r="O7" s="54"/>
      <c r="P7" s="54"/>
      <c r="Q7" s="54" t="s">
        <v>65</v>
      </c>
      <c r="R7" s="60" t="s">
        <v>66</v>
      </c>
      <c r="S7" s="54"/>
      <c r="T7" s="54"/>
      <c r="U7" s="54"/>
      <c r="V7" s="54"/>
      <c r="W7" s="54">
        <f t="shared" si="0"/>
        <v>2141110010</v>
      </c>
      <c r="X7" s="54" t="s">
        <v>140</v>
      </c>
      <c r="Y7" s="60" t="s">
        <v>47</v>
      </c>
      <c r="Z7" s="54" t="s">
        <v>141</v>
      </c>
      <c r="AA7" s="60" t="s">
        <v>113</v>
      </c>
      <c r="AB7" s="54"/>
      <c r="AC7" s="60" t="s">
        <v>142</v>
      </c>
      <c r="AD7" s="452" t="s">
        <v>143</v>
      </c>
      <c r="AE7" s="453"/>
      <c r="AF7" s="454" t="s">
        <v>52</v>
      </c>
      <c r="AG7" s="465" t="str">
        <f>VLOOKUP(B7,'[1]Danh sách khách hàng'!$B:$G,6,FALSE)</f>
        <v>Số 77, Nguyễn Tất Thành, Phường Khai Quang, Thành phố Vĩnh Yên, Tỉnh Vĩnh Phúc, Việt Nam</v>
      </c>
      <c r="AH7" s="465"/>
      <c r="AI7" s="465"/>
      <c r="AJ7" s="53"/>
      <c r="AK7" s="53"/>
      <c r="AL7" s="53"/>
      <c r="AM7" s="53"/>
    </row>
    <row r="8" ht="15.75" spans="1:39">
      <c r="A8" s="53">
        <v>7</v>
      </c>
      <c r="B8" s="53">
        <v>2141090020</v>
      </c>
      <c r="C8" s="54" t="s">
        <v>144</v>
      </c>
      <c r="D8" s="54" t="s">
        <v>145</v>
      </c>
      <c r="E8" s="54" t="s">
        <v>146</v>
      </c>
      <c r="F8" s="60" t="s">
        <v>147</v>
      </c>
      <c r="G8" s="432"/>
      <c r="H8" s="433" t="s">
        <v>148</v>
      </c>
      <c r="I8" s="432" t="s">
        <v>149</v>
      </c>
      <c r="J8" s="54" t="s">
        <v>145</v>
      </c>
      <c r="K8" s="54" t="s">
        <v>146</v>
      </c>
      <c r="L8" s="54"/>
      <c r="M8" s="54"/>
      <c r="N8" s="54" t="s">
        <v>150</v>
      </c>
      <c r="O8" s="54"/>
      <c r="P8" s="54"/>
      <c r="Q8" s="54" t="s">
        <v>65</v>
      </c>
      <c r="R8" s="60" t="s">
        <v>66</v>
      </c>
      <c r="S8" s="54"/>
      <c r="T8" s="54"/>
      <c r="U8" s="54"/>
      <c r="V8" s="54"/>
      <c r="W8" s="54">
        <f t="shared" si="0"/>
        <v>2141090020</v>
      </c>
      <c r="X8" s="54" t="s">
        <v>151</v>
      </c>
      <c r="Y8" s="60" t="s">
        <v>152</v>
      </c>
      <c r="Z8" s="54" t="s">
        <v>153</v>
      </c>
      <c r="AA8" s="60" t="s">
        <v>49</v>
      </c>
      <c r="AB8" s="54"/>
      <c r="AC8" s="60" t="s">
        <v>154</v>
      </c>
      <c r="AD8" s="455" t="s">
        <v>155</v>
      </c>
      <c r="AE8" s="456"/>
      <c r="AF8" s="454" t="s">
        <v>52</v>
      </c>
      <c r="AG8" s="465" t="str">
        <f>VLOOKUP(B8,'[1]Danh sách khách hàng'!$B:$G,6,FALSE)</f>
        <v>Ngõ 276, khối 1 , Vĩnh Tân , thành phố Vinh, Nghệ An</v>
      </c>
      <c r="AH8" s="465"/>
      <c r="AI8" s="465"/>
      <c r="AJ8" s="53"/>
      <c r="AK8" s="53"/>
      <c r="AL8" s="53"/>
      <c r="AM8" s="53"/>
    </row>
    <row r="9" ht="15.75" spans="1:39">
      <c r="A9" s="53">
        <v>8</v>
      </c>
      <c r="B9" s="53">
        <v>2141100020</v>
      </c>
      <c r="C9" s="54" t="s">
        <v>156</v>
      </c>
      <c r="D9" s="54" t="s">
        <v>157</v>
      </c>
      <c r="E9" s="54" t="s">
        <v>158</v>
      </c>
      <c r="F9" s="60" t="s">
        <v>159</v>
      </c>
      <c r="G9" s="432" t="s">
        <v>160</v>
      </c>
      <c r="H9" s="433" t="s">
        <v>161</v>
      </c>
      <c r="I9" s="432" t="s">
        <v>162</v>
      </c>
      <c r="J9" s="54" t="s">
        <v>163</v>
      </c>
      <c r="K9" s="60" t="s">
        <v>164</v>
      </c>
      <c r="L9" s="54" t="s">
        <v>39</v>
      </c>
      <c r="M9" s="60" t="s">
        <v>83</v>
      </c>
      <c r="N9" s="54" t="s">
        <v>165</v>
      </c>
      <c r="O9" s="54"/>
      <c r="P9" s="54">
        <v>866471453</v>
      </c>
      <c r="Q9" s="54" t="s">
        <v>86</v>
      </c>
      <c r="R9" s="60" t="s">
        <v>66</v>
      </c>
      <c r="S9" s="54"/>
      <c r="T9" s="54"/>
      <c r="U9" s="54"/>
      <c r="V9" s="54"/>
      <c r="W9" s="54">
        <f t="shared" si="0"/>
        <v>2141100020</v>
      </c>
      <c r="X9" s="54" t="s">
        <v>166</v>
      </c>
      <c r="Y9" s="60" t="s">
        <v>167</v>
      </c>
      <c r="Z9" s="54" t="s">
        <v>168</v>
      </c>
      <c r="AA9" s="60" t="s">
        <v>94</v>
      </c>
      <c r="AB9" s="54"/>
      <c r="AC9" s="54"/>
      <c r="AD9" s="452" t="s">
        <v>169</v>
      </c>
      <c r="AE9" s="453"/>
      <c r="AF9" s="454" t="s">
        <v>52</v>
      </c>
      <c r="AG9" s="465" t="str">
        <f>VLOOKUP(B9,'[1]Danh sách khách hàng'!$B:$G,6,FALSE)</f>
        <v>Số 170A, Đường Số 1, Khu 2, Phường Hoà Phú, Thành phố Thủ Dầu Một, Tỉnh Bình Dương, Việt Nam</v>
      </c>
      <c r="AH9" s="465"/>
      <c r="AI9" s="465"/>
      <c r="AJ9" s="53"/>
      <c r="AK9" s="53"/>
      <c r="AL9" s="53"/>
      <c r="AM9" s="53"/>
    </row>
    <row r="10" ht="15.75" spans="1:39">
      <c r="A10" s="53">
        <v>9</v>
      </c>
      <c r="B10" s="53">
        <v>2141030030</v>
      </c>
      <c r="C10" s="54" t="s">
        <v>170</v>
      </c>
      <c r="D10" s="54" t="s">
        <v>171</v>
      </c>
      <c r="E10" s="54" t="s">
        <v>172</v>
      </c>
      <c r="F10" s="60" t="s">
        <v>173</v>
      </c>
      <c r="G10" s="432" t="s">
        <v>174</v>
      </c>
      <c r="H10" s="433" t="s">
        <v>175</v>
      </c>
      <c r="I10" s="432"/>
      <c r="J10" s="54" t="s">
        <v>176</v>
      </c>
      <c r="K10" s="54" t="s">
        <v>177</v>
      </c>
      <c r="L10" s="54" t="s">
        <v>39</v>
      </c>
      <c r="M10" s="60" t="s">
        <v>40</v>
      </c>
      <c r="N10" s="54" t="s">
        <v>175</v>
      </c>
      <c r="O10" s="54"/>
      <c r="P10" s="54" t="s">
        <v>178</v>
      </c>
      <c r="Q10" s="54" t="s">
        <v>108</v>
      </c>
      <c r="R10" s="60" t="s">
        <v>66</v>
      </c>
      <c r="S10" s="54"/>
      <c r="T10" s="54"/>
      <c r="U10" s="54"/>
      <c r="V10" s="54"/>
      <c r="W10" s="54">
        <f t="shared" si="0"/>
        <v>2141030030</v>
      </c>
      <c r="X10" s="54" t="s">
        <v>179</v>
      </c>
      <c r="Y10" s="60" t="s">
        <v>180</v>
      </c>
      <c r="Z10" s="54" t="s">
        <v>181</v>
      </c>
      <c r="AA10" s="60" t="s">
        <v>113</v>
      </c>
      <c r="AB10" s="54"/>
      <c r="AC10" s="54"/>
      <c r="AD10" s="452" t="s">
        <v>182</v>
      </c>
      <c r="AE10" s="453"/>
      <c r="AF10" s="454" t="s">
        <v>52</v>
      </c>
      <c r="AG10" s="465" t="str">
        <f>VLOOKUP(B10,'[1]Danh sách khách hàng'!$B:$G,6,FALSE)</f>
        <v>Số 164, đường Hoàng Văn Thụ, khu Lò Rèn, Thị trấn Đồng Đăng, Huyện Cao Lộc, Tỉnh Lạng Sơn, Việt Nam</v>
      </c>
      <c r="AH10" s="465"/>
      <c r="AI10" s="465"/>
      <c r="AJ10" s="53"/>
      <c r="AK10" s="53"/>
      <c r="AL10" s="53"/>
      <c r="AM10" s="53"/>
    </row>
    <row r="11" ht="15.75" spans="1:39">
      <c r="A11" s="53">
        <v>10</v>
      </c>
      <c r="B11" s="53">
        <v>2141020030</v>
      </c>
      <c r="C11" s="54" t="s">
        <v>183</v>
      </c>
      <c r="D11" s="54" t="s">
        <v>184</v>
      </c>
      <c r="E11" s="54" t="s">
        <v>185</v>
      </c>
      <c r="F11" s="60" t="s">
        <v>186</v>
      </c>
      <c r="G11" s="432" t="s">
        <v>187</v>
      </c>
      <c r="H11" s="433" t="s">
        <v>188</v>
      </c>
      <c r="I11" s="432"/>
      <c r="J11" s="54" t="s">
        <v>189</v>
      </c>
      <c r="K11" s="54" t="s">
        <v>189</v>
      </c>
      <c r="L11" s="54" t="s">
        <v>39</v>
      </c>
      <c r="M11" s="60" t="s">
        <v>83</v>
      </c>
      <c r="N11" s="54" t="s">
        <v>190</v>
      </c>
      <c r="O11" s="54"/>
      <c r="P11" s="54"/>
      <c r="Q11" s="54" t="s">
        <v>86</v>
      </c>
      <c r="R11" s="60" t="s">
        <v>66</v>
      </c>
      <c r="S11" s="54"/>
      <c r="T11" s="54"/>
      <c r="U11" s="54"/>
      <c r="V11" s="54" t="s">
        <v>191</v>
      </c>
      <c r="W11" s="54">
        <f t="shared" si="0"/>
        <v>2141020030</v>
      </c>
      <c r="X11" s="54"/>
      <c r="Y11" s="54"/>
      <c r="Z11" s="54"/>
      <c r="AA11" s="60" t="s">
        <v>94</v>
      </c>
      <c r="AB11" s="54"/>
      <c r="AC11" s="54"/>
      <c r="AD11" s="452" t="s">
        <v>192</v>
      </c>
      <c r="AE11" s="453"/>
      <c r="AF11" s="454" t="s">
        <v>193</v>
      </c>
      <c r="AG11" s="465" t="str">
        <f>VLOOKUP(B11,'[1]Danh sách khách hàng'!$B:$G,6,FALSE)</f>
        <v>Quốc lộ 51, Ấp 1A, Xã Phước Thái, Đồng Nai, Việt Nam.</v>
      </c>
      <c r="AH11" s="465"/>
      <c r="AI11" s="465"/>
      <c r="AJ11" s="53"/>
      <c r="AK11" s="53"/>
      <c r="AL11" s="53"/>
      <c r="AM11" s="53"/>
    </row>
    <row r="12" ht="15.75" spans="1:39">
      <c r="A12" s="53">
        <v>11</v>
      </c>
      <c r="B12" s="53">
        <v>2141020130</v>
      </c>
      <c r="C12" s="54" t="s">
        <v>194</v>
      </c>
      <c r="D12" s="54" t="s">
        <v>195</v>
      </c>
      <c r="E12" s="54" t="s">
        <v>196</v>
      </c>
      <c r="F12" s="60" t="s">
        <v>197</v>
      </c>
      <c r="G12" s="432" t="s">
        <v>198</v>
      </c>
      <c r="H12" s="433" t="s">
        <v>199</v>
      </c>
      <c r="I12" s="432"/>
      <c r="J12" s="54" t="s">
        <v>200</v>
      </c>
      <c r="K12" s="54" t="s">
        <v>201</v>
      </c>
      <c r="L12" s="54" t="s">
        <v>39</v>
      </c>
      <c r="M12" s="60" t="s">
        <v>83</v>
      </c>
      <c r="N12" s="54" t="s">
        <v>202</v>
      </c>
      <c r="O12" s="54" t="s">
        <v>203</v>
      </c>
      <c r="P12" s="54" t="s">
        <v>204</v>
      </c>
      <c r="Q12" s="54" t="s">
        <v>86</v>
      </c>
      <c r="R12" s="60" t="s">
        <v>66</v>
      </c>
      <c r="S12" s="54"/>
      <c r="T12" s="54"/>
      <c r="U12" s="54"/>
      <c r="V12" s="54"/>
      <c r="W12" s="54">
        <f t="shared" si="0"/>
        <v>2141020130</v>
      </c>
      <c r="X12" s="54" t="s">
        <v>205</v>
      </c>
      <c r="Y12" s="60" t="s">
        <v>206</v>
      </c>
      <c r="Z12" s="54" t="s">
        <v>207</v>
      </c>
      <c r="AA12" s="60" t="s">
        <v>94</v>
      </c>
      <c r="AB12" s="54"/>
      <c r="AC12" s="54"/>
      <c r="AD12" s="452" t="s">
        <v>208</v>
      </c>
      <c r="AE12" s="453"/>
      <c r="AF12" s="454" t="s">
        <v>209</v>
      </c>
      <c r="AG12" s="465" t="str">
        <f>VLOOKUP(B12,'[1]Danh sách khách hàng'!$B:$G,6,FALSE)</f>
        <v>Số 81 Đường Tân Hòa 2, Khu phố 24, Phường Tăng Nhơn Phú, TP Hồ Chí Minh, Việt Nam.</v>
      </c>
      <c r="AH12" s="465"/>
      <c r="AI12" s="465"/>
      <c r="AJ12" s="53"/>
      <c r="AK12" s="53"/>
      <c r="AL12" s="53"/>
      <c r="AM12" s="53"/>
    </row>
    <row r="13" ht="15.75" spans="1:39">
      <c r="A13" s="53">
        <v>12</v>
      </c>
      <c r="B13" s="53">
        <v>2141010080</v>
      </c>
      <c r="C13" s="54" t="s">
        <v>210</v>
      </c>
      <c r="D13" s="54" t="s">
        <v>211</v>
      </c>
      <c r="E13" s="54" t="s">
        <v>212</v>
      </c>
      <c r="F13" s="60" t="s">
        <v>213</v>
      </c>
      <c r="G13" s="432" t="s">
        <v>214</v>
      </c>
      <c r="H13" s="433" t="s">
        <v>215</v>
      </c>
      <c r="I13" s="432" t="s">
        <v>216</v>
      </c>
      <c r="J13" s="54" t="s">
        <v>217</v>
      </c>
      <c r="K13" s="54" t="s">
        <v>218</v>
      </c>
      <c r="L13" s="54" t="s">
        <v>39</v>
      </c>
      <c r="M13" s="60" t="s">
        <v>83</v>
      </c>
      <c r="N13" s="54" t="s">
        <v>219</v>
      </c>
      <c r="O13" s="54" t="s">
        <v>217</v>
      </c>
      <c r="P13" s="432" t="s">
        <v>216</v>
      </c>
      <c r="Q13" s="54" t="s">
        <v>220</v>
      </c>
      <c r="R13" s="60" t="s">
        <v>66</v>
      </c>
      <c r="S13" s="54"/>
      <c r="T13" s="54"/>
      <c r="U13" s="54" t="s">
        <v>221</v>
      </c>
      <c r="V13" s="446" t="s">
        <v>222</v>
      </c>
      <c r="W13" s="54">
        <f t="shared" si="0"/>
        <v>2141010080</v>
      </c>
      <c r="X13" s="54" t="s">
        <v>223</v>
      </c>
      <c r="Y13" s="60" t="s">
        <v>224</v>
      </c>
      <c r="Z13" s="54" t="s">
        <v>225</v>
      </c>
      <c r="AA13" s="60" t="s">
        <v>49</v>
      </c>
      <c r="AB13" s="54" t="s">
        <v>226</v>
      </c>
      <c r="AC13" s="54"/>
      <c r="AD13" s="452" t="s">
        <v>227</v>
      </c>
      <c r="AE13" s="453"/>
      <c r="AF13" s="454" t="s">
        <v>96</v>
      </c>
      <c r="AG13" s="465" t="str">
        <f>VLOOKUP(B13,'[1]Danh sách khách hàng'!$B:$G,6,FALSE)</f>
        <v>Số 5, ngõ 2 phố Đại Linh, Phường Đại Mỗ, TP Hà Nội, Việt Nam.</v>
      </c>
      <c r="AH13" s="465"/>
      <c r="AI13" s="465"/>
      <c r="AJ13" s="53"/>
      <c r="AK13" s="53"/>
      <c r="AL13" s="53"/>
      <c r="AM13" s="53"/>
    </row>
    <row r="14" ht="15.75" spans="1:39">
      <c r="A14" s="53">
        <v>13</v>
      </c>
      <c r="B14" s="53">
        <v>2141070020</v>
      </c>
      <c r="C14" s="54" t="s">
        <v>228</v>
      </c>
      <c r="D14" s="54" t="s">
        <v>229</v>
      </c>
      <c r="E14" s="54" t="s">
        <v>230</v>
      </c>
      <c r="F14" s="60" t="s">
        <v>231</v>
      </c>
      <c r="G14" s="54" t="s">
        <v>232</v>
      </c>
      <c r="H14" s="433" t="s">
        <v>233</v>
      </c>
      <c r="I14" s="432" t="s">
        <v>234</v>
      </c>
      <c r="J14" s="54" t="s">
        <v>235</v>
      </c>
      <c r="K14" s="54" t="s">
        <v>236</v>
      </c>
      <c r="L14" s="54" t="s">
        <v>39</v>
      </c>
      <c r="M14" s="60" t="s">
        <v>83</v>
      </c>
      <c r="N14" s="54" t="s">
        <v>237</v>
      </c>
      <c r="O14" s="54" t="s">
        <v>238</v>
      </c>
      <c r="P14" s="54">
        <v>379774123</v>
      </c>
      <c r="Q14" s="54" t="s">
        <v>86</v>
      </c>
      <c r="R14" s="60" t="s">
        <v>66</v>
      </c>
      <c r="S14" s="54"/>
      <c r="T14" s="54"/>
      <c r="U14" s="54">
        <v>379774123</v>
      </c>
      <c r="V14" s="54" t="s">
        <v>239</v>
      </c>
      <c r="W14" s="54">
        <f t="shared" si="0"/>
        <v>2141070020</v>
      </c>
      <c r="X14" s="54" t="s">
        <v>240</v>
      </c>
      <c r="Y14" s="60" t="s">
        <v>127</v>
      </c>
      <c r="Z14" s="54" t="s">
        <v>241</v>
      </c>
      <c r="AA14" s="60" t="s">
        <v>94</v>
      </c>
      <c r="AB14" s="54"/>
      <c r="AC14" s="54"/>
      <c r="AD14" s="452" t="s">
        <v>242</v>
      </c>
      <c r="AE14" s="453"/>
      <c r="AF14" s="454" t="s">
        <v>52</v>
      </c>
      <c r="AG14" s="465" t="str">
        <f>VLOOKUP(B14,'[1]Danh sách khách hàng'!$B:$G,6,FALSE)</f>
        <v>19/5A, tổ 20, Khu Phố 3, Phường Bửu Long, Thành phố Biên Hoà, Tỉnh Đồng Nai, Việt Nam</v>
      </c>
      <c r="AH14" s="465"/>
      <c r="AI14" s="465"/>
      <c r="AJ14" s="53"/>
      <c r="AK14" s="53"/>
      <c r="AL14" s="53"/>
      <c r="AM14" s="53"/>
    </row>
    <row r="15" ht="15.75" spans="1:39">
      <c r="A15" s="53">
        <v>14</v>
      </c>
      <c r="B15" s="53">
        <v>2141020020</v>
      </c>
      <c r="C15" s="55" t="s">
        <v>243</v>
      </c>
      <c r="D15" s="54" t="s">
        <v>244</v>
      </c>
      <c r="E15" s="54" t="s">
        <v>245</v>
      </c>
      <c r="F15" s="60" t="s">
        <v>246</v>
      </c>
      <c r="G15" s="432" t="s">
        <v>247</v>
      </c>
      <c r="H15" s="433" t="s">
        <v>248</v>
      </c>
      <c r="I15" s="432" t="s">
        <v>249</v>
      </c>
      <c r="J15" s="54" t="s">
        <v>250</v>
      </c>
      <c r="K15" s="54" t="s">
        <v>251</v>
      </c>
      <c r="L15" s="54" t="s">
        <v>39</v>
      </c>
      <c r="M15" s="60" t="s">
        <v>83</v>
      </c>
      <c r="N15" s="54" t="s">
        <v>252</v>
      </c>
      <c r="O15" s="54" t="s">
        <v>253</v>
      </c>
      <c r="P15" s="54">
        <v>903003877</v>
      </c>
      <c r="Q15" s="54" t="s">
        <v>86</v>
      </c>
      <c r="R15" s="60" t="s">
        <v>66</v>
      </c>
      <c r="S15" s="54"/>
      <c r="T15" s="54"/>
      <c r="U15" s="54"/>
      <c r="V15" s="54"/>
      <c r="W15" s="54">
        <f t="shared" si="0"/>
        <v>2141020020</v>
      </c>
      <c r="X15" s="54" t="s">
        <v>254</v>
      </c>
      <c r="Y15" s="60" t="s">
        <v>255</v>
      </c>
      <c r="Z15" s="54" t="s">
        <v>256</v>
      </c>
      <c r="AA15" s="60" t="s">
        <v>94</v>
      </c>
      <c r="AB15" s="54"/>
      <c r="AC15" s="54"/>
      <c r="AD15" s="452" t="s">
        <v>257</v>
      </c>
      <c r="AE15" s="453"/>
      <c r="AF15" s="454" t="s">
        <v>258</v>
      </c>
      <c r="AG15" s="465" t="str">
        <f>VLOOKUP(B15,'[1]Danh sách khách hàng'!$B:$G,6,FALSE)</f>
        <v>450/1 Hòa Hảo, Phường Diên Hồng, TP Hồ Chí Minh, Việt Nam.</v>
      </c>
      <c r="AH15" s="465"/>
      <c r="AI15" s="465"/>
      <c r="AJ15" s="53"/>
      <c r="AK15" s="53"/>
      <c r="AL15" s="53"/>
      <c r="AM15" s="53"/>
    </row>
    <row r="16" ht="15.75" spans="1:39">
      <c r="A16" s="53">
        <v>15</v>
      </c>
      <c r="B16" s="53">
        <v>2141020140</v>
      </c>
      <c r="C16" s="55" t="s">
        <v>259</v>
      </c>
      <c r="D16" s="54" t="s">
        <v>260</v>
      </c>
      <c r="E16" s="54" t="s">
        <v>261</v>
      </c>
      <c r="F16" s="60" t="s">
        <v>262</v>
      </c>
      <c r="G16" s="432" t="s">
        <v>263</v>
      </c>
      <c r="H16" s="433" t="s">
        <v>264</v>
      </c>
      <c r="I16" s="432" t="s">
        <v>265</v>
      </c>
      <c r="J16" s="54" t="s">
        <v>266</v>
      </c>
      <c r="K16" s="54" t="s">
        <v>266</v>
      </c>
      <c r="L16" s="54" t="s">
        <v>39</v>
      </c>
      <c r="M16" s="60" t="s">
        <v>83</v>
      </c>
      <c r="N16" s="54" t="s">
        <v>267</v>
      </c>
      <c r="O16" s="54" t="s">
        <v>268</v>
      </c>
      <c r="P16" s="54" t="s">
        <v>269</v>
      </c>
      <c r="Q16" s="54" t="s">
        <v>86</v>
      </c>
      <c r="R16" s="60" t="s">
        <v>66</v>
      </c>
      <c r="S16" s="54"/>
      <c r="T16" s="54"/>
      <c r="U16" s="54">
        <v>905586622</v>
      </c>
      <c r="V16" s="54" t="s">
        <v>270</v>
      </c>
      <c r="W16" s="54">
        <f t="shared" si="0"/>
        <v>2141020140</v>
      </c>
      <c r="X16" s="54" t="s">
        <v>271</v>
      </c>
      <c r="Y16" s="60" t="s">
        <v>272</v>
      </c>
      <c r="Z16" s="457" t="s">
        <v>273</v>
      </c>
      <c r="AA16" s="60" t="s">
        <v>94</v>
      </c>
      <c r="AB16" s="54"/>
      <c r="AC16" s="54"/>
      <c r="AD16" s="452" t="s">
        <v>274</v>
      </c>
      <c r="AE16" s="453"/>
      <c r="AF16" s="454" t="s">
        <v>96</v>
      </c>
      <c r="AG16" s="465" t="str">
        <f>VLOOKUP(B16,'[1]Danh sách khách hàng'!$B:$G,6,FALSE)</f>
        <v>20 Huỳnh Thị Bảy, Ấp 1, Xã Tân Nhựt, TP Hồ Chí Minh, Việt Nam.</v>
      </c>
      <c r="AH16" s="465"/>
      <c r="AI16" s="465"/>
      <c r="AJ16" s="53"/>
      <c r="AK16" s="53"/>
      <c r="AL16" s="53"/>
      <c r="AM16" s="53"/>
    </row>
    <row r="17" ht="15.75" spans="1:39">
      <c r="A17" s="53">
        <v>16</v>
      </c>
      <c r="B17" s="53">
        <v>2141010090</v>
      </c>
      <c r="C17" s="54" t="s">
        <v>275</v>
      </c>
      <c r="D17" s="54" t="s">
        <v>276</v>
      </c>
      <c r="E17" s="54" t="s">
        <v>117</v>
      </c>
      <c r="F17" s="60" t="s">
        <v>118</v>
      </c>
      <c r="G17" s="432" t="s">
        <v>119</v>
      </c>
      <c r="H17" s="433" t="s">
        <v>277</v>
      </c>
      <c r="I17" s="432" t="s">
        <v>121</v>
      </c>
      <c r="J17" s="54" t="s">
        <v>122</v>
      </c>
      <c r="K17" s="54" t="s">
        <v>123</v>
      </c>
      <c r="L17" s="54" t="s">
        <v>39</v>
      </c>
      <c r="M17" s="60" t="s">
        <v>40</v>
      </c>
      <c r="N17" s="54" t="s">
        <v>41</v>
      </c>
      <c r="O17" s="54" t="s">
        <v>42</v>
      </c>
      <c r="P17" s="54">
        <v>984968999</v>
      </c>
      <c r="Q17" s="54" t="s">
        <v>44</v>
      </c>
      <c r="R17" s="60" t="s">
        <v>45</v>
      </c>
      <c r="S17" s="54">
        <v>0</v>
      </c>
      <c r="T17" s="54"/>
      <c r="U17" s="54">
        <v>0</v>
      </c>
      <c r="V17" s="54" t="s">
        <v>125</v>
      </c>
      <c r="W17" s="54">
        <f t="shared" si="0"/>
        <v>2141010090</v>
      </c>
      <c r="X17" s="54" t="s">
        <v>126</v>
      </c>
      <c r="Y17" s="60" t="s">
        <v>127</v>
      </c>
      <c r="Z17" s="54" t="s">
        <v>128</v>
      </c>
      <c r="AA17" s="60" t="s">
        <v>49</v>
      </c>
      <c r="AB17" s="54">
        <v>0</v>
      </c>
      <c r="AC17" s="54">
        <v>0</v>
      </c>
      <c r="AD17" s="452" t="s">
        <v>129</v>
      </c>
      <c r="AE17" s="453"/>
      <c r="AF17" s="454" t="s">
        <v>52</v>
      </c>
      <c r="AG17" s="465" t="str">
        <f>VLOOKUP(B17,'[1]Danh sách khách hàng'!$B:$G,6,FALSE)</f>
        <v>Thôn Đông Trạch, Xã Nam Phù, TP Hà Nội, Việt Nam</v>
      </c>
      <c r="AH17" s="465"/>
      <c r="AI17" s="465"/>
      <c r="AJ17" s="53"/>
      <c r="AK17" s="53"/>
      <c r="AL17" s="53"/>
      <c r="AM17" s="53"/>
    </row>
    <row r="18" ht="15.75" spans="1:39">
      <c r="A18" s="53">
        <v>17</v>
      </c>
      <c r="B18" s="53">
        <v>2141020160</v>
      </c>
      <c r="C18" s="54" t="s">
        <v>278</v>
      </c>
      <c r="D18" s="54" t="s">
        <v>279</v>
      </c>
      <c r="E18" s="54" t="s">
        <v>280</v>
      </c>
      <c r="F18" s="54" t="s">
        <v>281</v>
      </c>
      <c r="G18" s="432" t="s">
        <v>282</v>
      </c>
      <c r="H18" s="433" t="s">
        <v>283</v>
      </c>
      <c r="I18" s="432" t="s">
        <v>284</v>
      </c>
      <c r="J18" s="54" t="s">
        <v>285</v>
      </c>
      <c r="K18" s="54" t="s">
        <v>285</v>
      </c>
      <c r="L18" s="54" t="s">
        <v>39</v>
      </c>
      <c r="M18" s="60" t="s">
        <v>83</v>
      </c>
      <c r="N18" s="54" t="s">
        <v>286</v>
      </c>
      <c r="O18" s="54"/>
      <c r="P18" s="54"/>
      <c r="Q18" s="54" t="s">
        <v>86</v>
      </c>
      <c r="R18" s="60" t="s">
        <v>66</v>
      </c>
      <c r="S18" s="54"/>
      <c r="T18" s="54" t="s">
        <v>287</v>
      </c>
      <c r="U18" s="54"/>
      <c r="V18" s="446" t="s">
        <v>288</v>
      </c>
      <c r="W18" s="54">
        <f t="shared" si="0"/>
        <v>2141020160</v>
      </c>
      <c r="X18" s="435" t="s">
        <v>289</v>
      </c>
      <c r="Y18" s="60" t="s">
        <v>290</v>
      </c>
      <c r="Z18" s="54" t="s">
        <v>291</v>
      </c>
      <c r="AA18" s="60" t="s">
        <v>94</v>
      </c>
      <c r="AB18" s="54"/>
      <c r="AC18" s="54"/>
      <c r="AD18" s="452" t="s">
        <v>292</v>
      </c>
      <c r="AE18" s="453"/>
      <c r="AF18" s="454" t="s">
        <v>52</v>
      </c>
      <c r="AG18" s="465" t="str">
        <f>VLOOKUP(B18,'[1]Danh sách khách hàng'!$B:$G,6,FALSE)</f>
        <v>E4/20 Nguyễn Hữu Trí, Xã Tân Nhựt, Thành phố Hồ Chí Minh, Việt Nam.</v>
      </c>
      <c r="AH18" s="465"/>
      <c r="AI18" s="465"/>
      <c r="AJ18" s="53"/>
      <c r="AK18" s="53"/>
      <c r="AL18" s="53"/>
      <c r="AM18" s="53"/>
    </row>
    <row r="19" ht="15.75" spans="1:39">
      <c r="A19" s="53">
        <v>18</v>
      </c>
      <c r="B19" s="53">
        <v>2141020150</v>
      </c>
      <c r="C19" s="54" t="s">
        <v>293</v>
      </c>
      <c r="D19" s="54" t="s">
        <v>294</v>
      </c>
      <c r="E19" s="54" t="s">
        <v>280</v>
      </c>
      <c r="F19" s="54" t="s">
        <v>295</v>
      </c>
      <c r="G19" s="432" t="s">
        <v>282</v>
      </c>
      <c r="H19" s="433" t="s">
        <v>296</v>
      </c>
      <c r="I19" s="432" t="s">
        <v>284</v>
      </c>
      <c r="J19" s="54" t="s">
        <v>285</v>
      </c>
      <c r="K19" s="54" t="s">
        <v>285</v>
      </c>
      <c r="L19" s="54" t="s">
        <v>39</v>
      </c>
      <c r="M19" s="60" t="s">
        <v>83</v>
      </c>
      <c r="N19" s="54" t="s">
        <v>286</v>
      </c>
      <c r="O19" s="54"/>
      <c r="P19" s="54"/>
      <c r="Q19" s="54" t="s">
        <v>86</v>
      </c>
      <c r="R19" s="60" t="s">
        <v>66</v>
      </c>
      <c r="S19" s="54"/>
      <c r="T19" s="54"/>
      <c r="U19" s="54"/>
      <c r="V19" s="446" t="s">
        <v>288</v>
      </c>
      <c r="W19" s="54">
        <f t="shared" si="0"/>
        <v>2141020150</v>
      </c>
      <c r="X19" s="435" t="s">
        <v>289</v>
      </c>
      <c r="Y19" s="60" t="s">
        <v>290</v>
      </c>
      <c r="Z19" s="54" t="s">
        <v>291</v>
      </c>
      <c r="AA19" s="60" t="s">
        <v>94</v>
      </c>
      <c r="AB19" s="54"/>
      <c r="AC19" s="54"/>
      <c r="AD19" s="452" t="s">
        <v>297</v>
      </c>
      <c r="AE19" s="453"/>
      <c r="AF19" s="454" t="s">
        <v>52</v>
      </c>
      <c r="AG19" s="465" t="str">
        <f>VLOOKUP(B19,'[1]Danh sách khách hàng'!$B:$G,6,FALSE)</f>
        <v>E4/20 Nguyễn Hữu Trí, Thị Trấn Tân Túc, Huyện Bình Chánh, Thành phố Hồ Chí Minh, Việt Nam</v>
      </c>
      <c r="AH19" s="465"/>
      <c r="AI19" s="465"/>
      <c r="AJ19" s="53"/>
      <c r="AK19" s="53"/>
      <c r="AL19" s="53"/>
      <c r="AM19" s="53"/>
    </row>
    <row r="20" ht="15.75" spans="1:39">
      <c r="A20" s="53">
        <v>19</v>
      </c>
      <c r="B20" s="56">
        <v>2141010110</v>
      </c>
      <c r="C20" s="54" t="s">
        <v>298</v>
      </c>
      <c r="D20" s="54" t="s">
        <v>299</v>
      </c>
      <c r="E20" s="54"/>
      <c r="F20" s="60" t="s">
        <v>300</v>
      </c>
      <c r="G20" s="432" t="s">
        <v>301</v>
      </c>
      <c r="H20" s="433" t="s">
        <v>302</v>
      </c>
      <c r="I20" s="432"/>
      <c r="J20" s="54" t="s">
        <v>303</v>
      </c>
      <c r="K20" s="54" t="s">
        <v>304</v>
      </c>
      <c r="L20" s="54" t="s">
        <v>39</v>
      </c>
      <c r="M20" s="60" t="s">
        <v>83</v>
      </c>
      <c r="N20" s="54" t="s">
        <v>305</v>
      </c>
      <c r="O20" s="54" t="s">
        <v>306</v>
      </c>
      <c r="P20" s="54" t="s">
        <v>307</v>
      </c>
      <c r="Q20" s="54"/>
      <c r="R20" s="54"/>
      <c r="S20" s="54"/>
      <c r="T20" s="54"/>
      <c r="U20" s="54"/>
      <c r="V20" s="445" t="s">
        <v>308</v>
      </c>
      <c r="W20" s="54">
        <f t="shared" si="0"/>
        <v>2141010110</v>
      </c>
      <c r="X20" s="54"/>
      <c r="Y20" s="54"/>
      <c r="Z20" s="54"/>
      <c r="AA20" s="60" t="s">
        <v>49</v>
      </c>
      <c r="AB20" s="54"/>
      <c r="AC20" s="54"/>
      <c r="AD20" s="452" t="s">
        <v>309</v>
      </c>
      <c r="AE20" s="453"/>
      <c r="AF20" s="454" t="s">
        <v>52</v>
      </c>
      <c r="AG20" s="465" t="str">
        <f>VLOOKUP(B20,'[1]Danh sách khách hàng'!$B:$G,6,FALSE)</f>
        <v>Số 12, ngách 12, ngõ 23, phố Bồ Đề, tổ 5, Phường Bồ Đề, TP Hà Nội, Việt Nam.</v>
      </c>
      <c r="AH20" s="465"/>
      <c r="AI20" s="465"/>
      <c r="AJ20" s="53"/>
      <c r="AK20" s="53"/>
      <c r="AL20" s="53"/>
      <c r="AM20" s="53"/>
    </row>
    <row r="21" ht="15.75" spans="1:39">
      <c r="A21" s="53">
        <v>20</v>
      </c>
      <c r="B21" s="53"/>
      <c r="C21" s="54" t="s">
        <v>310</v>
      </c>
      <c r="D21" s="54" t="s">
        <v>311</v>
      </c>
      <c r="E21" s="54" t="s">
        <v>312</v>
      </c>
      <c r="F21" s="54" t="s">
        <v>313</v>
      </c>
      <c r="G21" s="434">
        <v>201878595</v>
      </c>
      <c r="H21" s="433" t="e">
        <v>#N/A</v>
      </c>
      <c r="I21" s="432" t="s">
        <v>314</v>
      </c>
      <c r="J21" s="54" t="s">
        <v>315</v>
      </c>
      <c r="K21" s="54" t="s">
        <v>315</v>
      </c>
      <c r="L21" s="54" t="s">
        <v>39</v>
      </c>
      <c r="M21" s="60" t="s">
        <v>83</v>
      </c>
      <c r="N21" s="54"/>
      <c r="O21" s="54"/>
      <c r="P21" s="54"/>
      <c r="Q21" s="54"/>
      <c r="R21" s="54"/>
      <c r="S21" s="54"/>
      <c r="T21" s="54" t="s">
        <v>316</v>
      </c>
      <c r="U21" s="54">
        <v>971350969</v>
      </c>
      <c r="V21" s="445" t="s">
        <v>317</v>
      </c>
      <c r="W21" s="54">
        <f t="shared" si="0"/>
        <v>0</v>
      </c>
      <c r="X21" s="54"/>
      <c r="Y21" s="54"/>
      <c r="Z21" s="54"/>
      <c r="AA21" s="54"/>
      <c r="AB21" s="54"/>
      <c r="AC21" s="54"/>
      <c r="AD21" s="455" t="e">
        <v>#N/A</v>
      </c>
      <c r="AE21" s="456"/>
      <c r="AF21" s="454" t="s">
        <v>52</v>
      </c>
      <c r="AG21" s="465" t="e">
        <f>VLOOKUP(B21,'[1]Danh sách khách hàng'!$B:$G,6,FALSE)</f>
        <v>#N/A</v>
      </c>
      <c r="AH21" s="465"/>
      <c r="AI21" s="465"/>
      <c r="AJ21" s="53"/>
      <c r="AK21" s="53"/>
      <c r="AL21" s="53"/>
      <c r="AM21" s="53"/>
    </row>
    <row r="22" ht="15.75" spans="1:39">
      <c r="A22" s="53">
        <v>21</v>
      </c>
      <c r="B22" s="56">
        <v>2141010100</v>
      </c>
      <c r="C22" s="54" t="s">
        <v>318</v>
      </c>
      <c r="D22" s="435" t="s">
        <v>319</v>
      </c>
      <c r="E22" s="54"/>
      <c r="F22" s="54" t="s">
        <v>320</v>
      </c>
      <c r="G22" s="434" t="s">
        <v>321</v>
      </c>
      <c r="H22" s="433" t="s">
        <v>322</v>
      </c>
      <c r="I22" s="432" t="s">
        <v>323</v>
      </c>
      <c r="J22" s="54" t="s">
        <v>324</v>
      </c>
      <c r="K22" s="54" t="s">
        <v>325</v>
      </c>
      <c r="L22" s="54" t="s">
        <v>39</v>
      </c>
      <c r="M22" s="60" t="s">
        <v>83</v>
      </c>
      <c r="N22" s="54" t="s">
        <v>326</v>
      </c>
      <c r="O22" s="54"/>
      <c r="P22" s="54"/>
      <c r="Q22" s="54"/>
      <c r="R22" s="54"/>
      <c r="S22" s="54"/>
      <c r="T22" s="54"/>
      <c r="U22" s="54"/>
      <c r="V22" s="54"/>
      <c r="W22" s="54">
        <f t="shared" si="0"/>
        <v>2141010100</v>
      </c>
      <c r="X22" s="54"/>
      <c r="Y22" s="54"/>
      <c r="Z22" s="54"/>
      <c r="AA22" s="54"/>
      <c r="AB22" s="54"/>
      <c r="AC22" s="54"/>
      <c r="AD22" s="452" t="s">
        <v>327</v>
      </c>
      <c r="AE22" s="453"/>
      <c r="AF22" s="454" t="s">
        <v>52</v>
      </c>
      <c r="AG22" s="465" t="str">
        <f>VLOOKUP(B22,'[1]Danh sách khách hàng'!$B:$G,6,FALSE)</f>
        <v>Số 36, Đường Long Biên 2, Phường Bồ Đề, TP Hà Nội, Việt Nam.</v>
      </c>
      <c r="AH22" s="465"/>
      <c r="AI22" s="465"/>
      <c r="AJ22" s="53"/>
      <c r="AK22" s="53"/>
      <c r="AL22" s="53"/>
      <c r="AM22" s="53"/>
    </row>
    <row r="23" ht="15.75" spans="1:39">
      <c r="A23" s="53">
        <v>22</v>
      </c>
      <c r="B23" s="53"/>
      <c r="C23" s="54" t="s">
        <v>328</v>
      </c>
      <c r="D23" s="54"/>
      <c r="E23" s="54"/>
      <c r="F23" s="54"/>
      <c r="G23" s="432"/>
      <c r="H23" s="433" t="e">
        <v>#N/A</v>
      </c>
      <c r="I23" s="432"/>
      <c r="J23" s="54"/>
      <c r="K23" s="54"/>
      <c r="L23" s="54" t="s">
        <v>39</v>
      </c>
      <c r="M23" s="60" t="s">
        <v>83</v>
      </c>
      <c r="N23" s="54" t="s">
        <v>329</v>
      </c>
      <c r="O23" s="54"/>
      <c r="P23" s="54"/>
      <c r="Q23" s="54"/>
      <c r="R23" s="54"/>
      <c r="S23" s="54"/>
      <c r="T23" s="54"/>
      <c r="U23" s="54"/>
      <c r="V23" s="54"/>
      <c r="W23" s="54">
        <f t="shared" si="0"/>
        <v>0</v>
      </c>
      <c r="X23" s="54"/>
      <c r="Y23" s="54"/>
      <c r="Z23" s="54"/>
      <c r="AA23" s="54"/>
      <c r="AB23" s="54"/>
      <c r="AC23" s="54"/>
      <c r="AD23" s="455" t="e">
        <v>#N/A</v>
      </c>
      <c r="AE23" s="456"/>
      <c r="AF23" s="454" t="s">
        <v>52</v>
      </c>
      <c r="AG23" s="465" t="e">
        <f>VLOOKUP(B23,'[1]Danh sách khách hàng'!$B:$G,6,FALSE)</f>
        <v>#N/A</v>
      </c>
      <c r="AH23" s="465"/>
      <c r="AI23" s="465"/>
      <c r="AJ23" s="53"/>
      <c r="AK23" s="53"/>
      <c r="AL23" s="53"/>
      <c r="AM23" s="53"/>
    </row>
    <row r="24" ht="15.75" spans="1:39">
      <c r="A24" s="53">
        <v>23</v>
      </c>
      <c r="B24" s="53">
        <v>2141110020</v>
      </c>
      <c r="C24" s="54" t="s">
        <v>330</v>
      </c>
      <c r="D24" s="54" t="s">
        <v>331</v>
      </c>
      <c r="E24" s="54" t="s">
        <v>332</v>
      </c>
      <c r="F24" s="60" t="s">
        <v>333</v>
      </c>
      <c r="G24" s="436" t="s">
        <v>334</v>
      </c>
      <c r="H24" s="433" t="s">
        <v>335</v>
      </c>
      <c r="I24" s="432"/>
      <c r="J24" s="54" t="s">
        <v>137</v>
      </c>
      <c r="K24" s="54" t="s">
        <v>138</v>
      </c>
      <c r="L24" s="54" t="s">
        <v>39</v>
      </c>
      <c r="M24" s="60" t="s">
        <v>83</v>
      </c>
      <c r="N24" s="54" t="s">
        <v>139</v>
      </c>
      <c r="O24" s="54"/>
      <c r="P24" s="54"/>
      <c r="Q24" s="54"/>
      <c r="R24" s="54"/>
      <c r="S24" s="54"/>
      <c r="T24" s="54" t="s">
        <v>137</v>
      </c>
      <c r="U24" s="54"/>
      <c r="V24" s="445" t="s">
        <v>336</v>
      </c>
      <c r="W24" s="54">
        <f t="shared" si="0"/>
        <v>2141110020</v>
      </c>
      <c r="X24" s="54" t="s">
        <v>337</v>
      </c>
      <c r="Y24" s="60" t="s">
        <v>338</v>
      </c>
      <c r="Z24" s="432" t="s">
        <v>339</v>
      </c>
      <c r="AA24" s="60" t="s">
        <v>113</v>
      </c>
      <c r="AB24" s="54"/>
      <c r="AC24" s="54"/>
      <c r="AD24" s="452" t="s">
        <v>340</v>
      </c>
      <c r="AE24" s="453"/>
      <c r="AF24" s="454" t="s">
        <v>96</v>
      </c>
      <c r="AG24" s="465" t="str">
        <f>VLOOKUP(B24,'[1]Danh sách khách hàng'!$B:$G,6,FALSE)</f>
        <v>Số 136, đường Tôn Đức Thắng, Phường Vĩnh Phúc, Phú Thọ, Việt Nam.</v>
      </c>
      <c r="AH24" s="465"/>
      <c r="AI24" s="465"/>
      <c r="AJ24" s="53"/>
      <c r="AK24" s="53"/>
      <c r="AL24" s="53"/>
      <c r="AM24" s="53"/>
    </row>
    <row r="25" ht="15.75" spans="1:39">
      <c r="A25" s="53">
        <v>24</v>
      </c>
      <c r="B25" s="53">
        <v>2141100030</v>
      </c>
      <c r="C25" s="55" t="s">
        <v>341</v>
      </c>
      <c r="D25" s="54" t="s">
        <v>342</v>
      </c>
      <c r="E25" s="54"/>
      <c r="F25" s="54"/>
      <c r="G25" s="54" t="s">
        <v>343</v>
      </c>
      <c r="H25" s="433" t="s">
        <v>344</v>
      </c>
      <c r="I25" s="432" t="s">
        <v>345</v>
      </c>
      <c r="J25" s="54" t="s">
        <v>346</v>
      </c>
      <c r="K25" s="54" t="s">
        <v>347</v>
      </c>
      <c r="L25" s="54" t="s">
        <v>39</v>
      </c>
      <c r="M25" s="60" t="s">
        <v>83</v>
      </c>
      <c r="N25" s="54" t="s">
        <v>348</v>
      </c>
      <c r="O25" s="54"/>
      <c r="P25" s="54" t="s">
        <v>349</v>
      </c>
      <c r="Q25" s="54"/>
      <c r="R25" s="54"/>
      <c r="S25" s="54"/>
      <c r="T25" s="54"/>
      <c r="U25" s="54"/>
      <c r="V25" s="54" t="s">
        <v>350</v>
      </c>
      <c r="W25" s="54">
        <f t="shared" si="0"/>
        <v>2141100030</v>
      </c>
      <c r="X25" s="54" t="s">
        <v>351</v>
      </c>
      <c r="Y25" s="60" t="s">
        <v>352</v>
      </c>
      <c r="Z25" s="54">
        <v>1039912723</v>
      </c>
      <c r="AA25" s="60" t="s">
        <v>94</v>
      </c>
      <c r="AB25" s="54"/>
      <c r="AC25" s="54"/>
      <c r="AD25" s="452" t="s">
        <v>353</v>
      </c>
      <c r="AE25" s="453"/>
      <c r="AF25" s="454" t="s">
        <v>96</v>
      </c>
      <c r="AG25" s="465" t="str">
        <f>VLOOKUP(B25,'[1]Danh sách khách hàng'!$B:$G,6,FALSE)</f>
        <v>HT1-1B Lô F8,F9, Đường Bùi Thị Xuân, Khu Đô Thị Mới, Phường Bình Dương, TP Hồ Chí Minh, Việt Nam.</v>
      </c>
      <c r="AH25" s="465"/>
      <c r="AI25" s="465"/>
      <c r="AJ25" s="53"/>
      <c r="AK25" s="53"/>
      <c r="AL25" s="53"/>
      <c r="AM25" s="53"/>
    </row>
    <row r="26" ht="15.75" spans="1:39">
      <c r="A26" s="53">
        <v>25</v>
      </c>
      <c r="B26" s="56">
        <v>2141030060</v>
      </c>
      <c r="C26" s="55" t="s">
        <v>354</v>
      </c>
      <c r="D26" s="54" t="s">
        <v>355</v>
      </c>
      <c r="E26" s="54" t="s">
        <v>356</v>
      </c>
      <c r="F26" s="60" t="s">
        <v>357</v>
      </c>
      <c r="G26" s="432" t="s">
        <v>358</v>
      </c>
      <c r="H26" s="433" t="s">
        <v>359</v>
      </c>
      <c r="I26" s="432" t="s">
        <v>360</v>
      </c>
      <c r="J26" s="441" t="s">
        <v>361</v>
      </c>
      <c r="K26" s="441" t="s">
        <v>362</v>
      </c>
      <c r="L26" s="54" t="s">
        <v>39</v>
      </c>
      <c r="M26" s="60" t="s">
        <v>83</v>
      </c>
      <c r="N26" s="54" t="s">
        <v>175</v>
      </c>
      <c r="O26" s="54"/>
      <c r="P26" s="54"/>
      <c r="Q26" s="54"/>
      <c r="R26" s="54"/>
      <c r="S26" s="54"/>
      <c r="T26" s="54"/>
      <c r="U26" s="54"/>
      <c r="V26" s="54" t="s">
        <v>363</v>
      </c>
      <c r="W26" s="54">
        <f t="shared" si="0"/>
        <v>2141030060</v>
      </c>
      <c r="X26" s="54" t="s">
        <v>364</v>
      </c>
      <c r="Y26" s="54"/>
      <c r="Z26" s="54" t="s">
        <v>365</v>
      </c>
      <c r="AA26" s="60" t="s">
        <v>113</v>
      </c>
      <c r="AB26" s="54"/>
      <c r="AC26" s="54"/>
      <c r="AD26" s="452" t="s">
        <v>366</v>
      </c>
      <c r="AE26" s="453"/>
      <c r="AF26" s="454" t="s">
        <v>96</v>
      </c>
      <c r="AG26" s="465" t="str">
        <f>VLOOKUP(B26,'[1]Danh sách khách hàng'!$B:$G,6,FALSE)</f>
        <v>Số 75, đường Hoàng Văn Thụ, khu Lò Rèn, Xã Đồng Đăng, Lạng Sơn, Việt Nam.</v>
      </c>
      <c r="AH26" s="465"/>
      <c r="AI26" s="465"/>
      <c r="AJ26" s="53"/>
      <c r="AK26" s="53"/>
      <c r="AL26" s="53"/>
      <c r="AM26" s="53"/>
    </row>
    <row r="27" ht="15.75" spans="1:39">
      <c r="A27" s="53">
        <v>26</v>
      </c>
      <c r="B27" s="56">
        <v>2141120020</v>
      </c>
      <c r="C27" s="54" t="s">
        <v>367</v>
      </c>
      <c r="D27" s="54" t="s">
        <v>368</v>
      </c>
      <c r="E27" s="54" t="s">
        <v>369</v>
      </c>
      <c r="F27" s="60" t="s">
        <v>370</v>
      </c>
      <c r="G27" s="435" t="s">
        <v>371</v>
      </c>
      <c r="H27" s="433" t="s">
        <v>372</v>
      </c>
      <c r="I27" s="432" t="s">
        <v>373</v>
      </c>
      <c r="J27" s="441" t="s">
        <v>374</v>
      </c>
      <c r="K27" s="441" t="s">
        <v>375</v>
      </c>
      <c r="L27" s="54" t="s">
        <v>39</v>
      </c>
      <c r="M27" s="60" t="s">
        <v>83</v>
      </c>
      <c r="N27" s="54" t="s">
        <v>376</v>
      </c>
      <c r="O27" s="54"/>
      <c r="P27" s="54"/>
      <c r="Q27" s="54"/>
      <c r="R27" s="54"/>
      <c r="S27" s="54"/>
      <c r="T27" s="54"/>
      <c r="U27" s="54"/>
      <c r="V27" s="54"/>
      <c r="W27" s="54">
        <f t="shared" si="0"/>
        <v>2141120020</v>
      </c>
      <c r="X27" s="54"/>
      <c r="Y27" s="54"/>
      <c r="Z27" s="54"/>
      <c r="AA27" s="60" t="s">
        <v>49</v>
      </c>
      <c r="AB27" s="54"/>
      <c r="AC27" s="54"/>
      <c r="AD27" s="452" t="s">
        <v>377</v>
      </c>
      <c r="AE27" s="453"/>
      <c r="AF27" s="454" t="s">
        <v>96</v>
      </c>
      <c r="AG27" s="465" t="str">
        <f>VLOOKUP(B27,'[1]Danh sách khách hàng'!$B:$G,6,FALSE)</f>
        <v>Số nhà 13/75 Bùi Thị Xuân, Phường Lê Thanh Nghị, TP Hải Phòng, Việt Nam.</v>
      </c>
      <c r="AH27" s="465"/>
      <c r="AI27" s="465"/>
      <c r="AJ27" s="53"/>
      <c r="AK27" s="53"/>
      <c r="AL27" s="53"/>
      <c r="AM27" s="53"/>
    </row>
    <row r="28" ht="15.75" spans="1:39">
      <c r="A28" s="53">
        <v>27</v>
      </c>
      <c r="B28" s="57">
        <v>2141120010</v>
      </c>
      <c r="C28" s="54" t="s">
        <v>378</v>
      </c>
      <c r="D28" s="54" t="s">
        <v>379</v>
      </c>
      <c r="E28" s="54"/>
      <c r="F28" s="54"/>
      <c r="G28" s="54" t="s">
        <v>380</v>
      </c>
      <c r="H28" s="433" t="s">
        <v>381</v>
      </c>
      <c r="I28" s="432">
        <v>369691298</v>
      </c>
      <c r="J28" s="54" t="s">
        <v>382</v>
      </c>
      <c r="K28" s="60" t="s">
        <v>383</v>
      </c>
      <c r="L28" s="54" t="s">
        <v>384</v>
      </c>
      <c r="M28" s="60" t="s">
        <v>83</v>
      </c>
      <c r="N28" s="54" t="s">
        <v>385</v>
      </c>
      <c r="O28" s="54"/>
      <c r="P28" s="54"/>
      <c r="Q28" s="54"/>
      <c r="R28" s="54"/>
      <c r="S28" s="54"/>
      <c r="T28" s="54"/>
      <c r="U28" s="54"/>
      <c r="V28" s="54"/>
      <c r="W28" s="54">
        <f t="shared" si="0"/>
        <v>2141120010</v>
      </c>
      <c r="X28" s="54" t="s">
        <v>386</v>
      </c>
      <c r="Y28" s="60" t="s">
        <v>387</v>
      </c>
      <c r="Z28" s="54">
        <v>4603396905</v>
      </c>
      <c r="AA28" s="60" t="s">
        <v>49</v>
      </c>
      <c r="AB28" s="54"/>
      <c r="AC28" s="54"/>
      <c r="AD28" s="452" t="s">
        <v>388</v>
      </c>
      <c r="AE28" s="453"/>
      <c r="AF28" s="454" t="s">
        <v>389</v>
      </c>
      <c r="AG28" s="465" t="str">
        <f>VLOOKUP(B28,'[1]Danh sách khách hàng'!$B:$G,6,FALSE)</f>
        <v>Thửa đất số 1488, tờ bản đồ số 09, Xã Thanh Miện, TP Hải Phòng, Việt Nam.</v>
      </c>
      <c r="AH28" s="465"/>
      <c r="AI28" s="465"/>
      <c r="AJ28" s="53"/>
      <c r="AK28" s="53"/>
      <c r="AL28" s="53"/>
      <c r="AM28" s="53"/>
    </row>
    <row r="29" ht="15.75" spans="1:39">
      <c r="A29" s="53">
        <v>28</v>
      </c>
      <c r="B29" s="53">
        <v>2141130010</v>
      </c>
      <c r="C29" s="55" t="s">
        <v>390</v>
      </c>
      <c r="D29" s="54" t="s">
        <v>391</v>
      </c>
      <c r="E29" s="54" t="s">
        <v>392</v>
      </c>
      <c r="F29" s="60" t="s">
        <v>393</v>
      </c>
      <c r="G29" s="54" t="s">
        <v>394</v>
      </c>
      <c r="H29" s="433" t="s">
        <v>395</v>
      </c>
      <c r="I29" s="432" t="s">
        <v>396</v>
      </c>
      <c r="J29" s="54" t="s">
        <v>397</v>
      </c>
      <c r="K29" s="54" t="s">
        <v>397</v>
      </c>
      <c r="L29" s="54" t="s">
        <v>384</v>
      </c>
      <c r="M29" s="60" t="s">
        <v>83</v>
      </c>
      <c r="N29" s="54" t="s">
        <v>398</v>
      </c>
      <c r="O29" s="54" t="s">
        <v>399</v>
      </c>
      <c r="P29" s="54" t="s">
        <v>400</v>
      </c>
      <c r="Q29" s="54"/>
      <c r="R29" s="54"/>
      <c r="S29" s="54"/>
      <c r="T29" s="54"/>
      <c r="U29" s="54"/>
      <c r="V29" s="54" t="s">
        <v>401</v>
      </c>
      <c r="W29" s="54">
        <f t="shared" si="0"/>
        <v>2141130010</v>
      </c>
      <c r="X29" s="54" t="s">
        <v>402</v>
      </c>
      <c r="Y29" s="60" t="s">
        <v>403</v>
      </c>
      <c r="Z29" s="432" t="s">
        <v>404</v>
      </c>
      <c r="AA29" s="60" t="s">
        <v>113</v>
      </c>
      <c r="AB29" s="54"/>
      <c r="AC29" s="54"/>
      <c r="AD29" s="452" t="s">
        <v>405</v>
      </c>
      <c r="AE29" s="453"/>
      <c r="AF29" s="454" t="s">
        <v>96</v>
      </c>
      <c r="AG29" s="465" t="str">
        <f>VLOOKUP(B29,'[1]Danh sách khách hàng'!$B:$G,6,FALSE)</f>
        <v>Số nhà 17, Tổ dân phố số 3, Phường Đa Mai, Bắc Ninh, Việt Nam.</v>
      </c>
      <c r="AH29" s="465"/>
      <c r="AI29" s="465"/>
      <c r="AJ29" s="53"/>
      <c r="AK29" s="53"/>
      <c r="AL29" s="53"/>
      <c r="AM29" s="53"/>
    </row>
    <row r="30" ht="15.75" spans="1:39">
      <c r="A30" s="53">
        <v>29</v>
      </c>
      <c r="B30" s="53">
        <v>2141020190</v>
      </c>
      <c r="C30" s="54" t="s">
        <v>406</v>
      </c>
      <c r="D30" s="54" t="s">
        <v>407</v>
      </c>
      <c r="E30" s="54" t="s">
        <v>408</v>
      </c>
      <c r="F30" s="54" t="s">
        <v>409</v>
      </c>
      <c r="G30" s="432" t="s">
        <v>410</v>
      </c>
      <c r="H30" s="433" t="s">
        <v>411</v>
      </c>
      <c r="I30" s="432" t="s">
        <v>412</v>
      </c>
      <c r="J30" s="54" t="s">
        <v>413</v>
      </c>
      <c r="K30" s="54" t="s">
        <v>413</v>
      </c>
      <c r="L30" s="54" t="s">
        <v>384</v>
      </c>
      <c r="M30" s="60" t="s">
        <v>83</v>
      </c>
      <c r="N30" s="54" t="s">
        <v>414</v>
      </c>
      <c r="O30" s="54"/>
      <c r="P30" s="54" t="s">
        <v>415</v>
      </c>
      <c r="Q30" s="54"/>
      <c r="R30" s="54"/>
      <c r="S30" s="54"/>
      <c r="T30" s="54"/>
      <c r="U30" s="54"/>
      <c r="V30" s="54" t="s">
        <v>416</v>
      </c>
      <c r="W30" s="54">
        <f t="shared" si="0"/>
        <v>2141020190</v>
      </c>
      <c r="X30" s="54" t="s">
        <v>417</v>
      </c>
      <c r="Y30" s="54" t="s">
        <v>418</v>
      </c>
      <c r="Z30" s="432" t="s">
        <v>419</v>
      </c>
      <c r="AA30" s="60" t="s">
        <v>420</v>
      </c>
      <c r="AB30" s="54"/>
      <c r="AC30" s="54"/>
      <c r="AD30" s="452" t="s">
        <v>421</v>
      </c>
      <c r="AE30" s="453"/>
      <c r="AF30" s="454" t="s">
        <v>209</v>
      </c>
      <c r="AG30" s="465" t="str">
        <f>VLOOKUP(B30,'[1]Danh sách khách hàng'!$B:$G,6,FALSE)</f>
        <v>Lô K4B khu công nghiệp Lê Minh Xuân, Đường Số 4, Xã Bình Lợi, TP Hồ Chí Minh, Việt Nam.</v>
      </c>
      <c r="AH30" s="465"/>
      <c r="AI30" s="465"/>
      <c r="AJ30" s="53"/>
      <c r="AK30" s="53"/>
      <c r="AL30" s="53"/>
      <c r="AM30" s="53"/>
    </row>
    <row r="31" ht="15.75" spans="1:39">
      <c r="A31" s="53">
        <v>30</v>
      </c>
      <c r="B31" s="53">
        <v>2141010120</v>
      </c>
      <c r="C31" s="54" t="s">
        <v>422</v>
      </c>
      <c r="D31" s="54" t="s">
        <v>423</v>
      </c>
      <c r="E31" s="54" t="s">
        <v>424</v>
      </c>
      <c r="F31" s="60" t="s">
        <v>425</v>
      </c>
      <c r="G31" s="432" t="s">
        <v>426</v>
      </c>
      <c r="H31" s="433" t="s">
        <v>427</v>
      </c>
      <c r="I31" s="432" t="s">
        <v>428</v>
      </c>
      <c r="J31" s="54" t="s">
        <v>429</v>
      </c>
      <c r="K31" s="54" t="s">
        <v>429</v>
      </c>
      <c r="L31" s="54" t="s">
        <v>384</v>
      </c>
      <c r="M31" s="60" t="s">
        <v>83</v>
      </c>
      <c r="N31" s="54"/>
      <c r="O31" s="54"/>
      <c r="P31" s="54"/>
      <c r="Q31" s="54"/>
      <c r="R31" s="54"/>
      <c r="S31" s="54"/>
      <c r="T31" s="54"/>
      <c r="U31" s="54"/>
      <c r="V31" s="54" t="s">
        <v>430</v>
      </c>
      <c r="W31" s="54">
        <f t="shared" si="0"/>
        <v>2141010120</v>
      </c>
      <c r="X31" s="447" t="s">
        <v>431</v>
      </c>
      <c r="Y31" s="60" t="s">
        <v>432</v>
      </c>
      <c r="Z31" s="447">
        <v>2689368999</v>
      </c>
      <c r="AA31" s="60" t="s">
        <v>49</v>
      </c>
      <c r="AB31" s="54"/>
      <c r="AC31" s="54"/>
      <c r="AD31" s="452" t="s">
        <v>433</v>
      </c>
      <c r="AE31" s="453"/>
      <c r="AF31" s="454" t="s">
        <v>96</v>
      </c>
      <c r="AG31" s="465" t="str">
        <f>VLOOKUP(B31,'[1]Danh sách khách hàng'!$B:$G,6,FALSE)</f>
        <v>Kiot 19-20-21 Tòa CT9 Khu đô thị Định Công, Phường Phương Liệt, TP Hà Nội, Việt Nam.</v>
      </c>
      <c r="AH31" s="465"/>
      <c r="AI31" s="465"/>
      <c r="AJ31" s="53"/>
      <c r="AK31" s="53"/>
      <c r="AL31" s="53"/>
      <c r="AM31" s="53"/>
    </row>
    <row r="32" ht="15.75" spans="1:39">
      <c r="A32" s="53">
        <v>31</v>
      </c>
      <c r="B32" s="53">
        <v>2141010130</v>
      </c>
      <c r="C32" s="55" t="s">
        <v>434</v>
      </c>
      <c r="D32" s="54" t="s">
        <v>435</v>
      </c>
      <c r="E32" s="54" t="s">
        <v>436</v>
      </c>
      <c r="F32" s="60" t="s">
        <v>437</v>
      </c>
      <c r="G32" s="432" t="s">
        <v>438</v>
      </c>
      <c r="H32" s="433" t="s">
        <v>439</v>
      </c>
      <c r="I32" s="432" t="s">
        <v>440</v>
      </c>
      <c r="J32" s="54" t="s">
        <v>441</v>
      </c>
      <c r="K32" s="54" t="s">
        <v>441</v>
      </c>
      <c r="L32" s="54" t="s">
        <v>384</v>
      </c>
      <c r="M32" s="60" t="s">
        <v>83</v>
      </c>
      <c r="N32" s="54"/>
      <c r="O32" s="54"/>
      <c r="P32" s="54"/>
      <c r="Q32" s="54"/>
      <c r="R32" s="54"/>
      <c r="S32" s="54"/>
      <c r="T32" s="54"/>
      <c r="U32" s="54"/>
      <c r="V32" s="54" t="s">
        <v>442</v>
      </c>
      <c r="W32" s="54">
        <f t="shared" si="0"/>
        <v>2141010130</v>
      </c>
      <c r="X32" s="54" t="s">
        <v>443</v>
      </c>
      <c r="Y32" s="60" t="s">
        <v>444</v>
      </c>
      <c r="Z32" s="447">
        <v>195695889</v>
      </c>
      <c r="AA32" s="60" t="s">
        <v>49</v>
      </c>
      <c r="AB32" s="54"/>
      <c r="AC32" s="54"/>
      <c r="AD32" s="452" t="s">
        <v>445</v>
      </c>
      <c r="AE32" s="453"/>
      <c r="AF32" s="454" t="s">
        <v>96</v>
      </c>
      <c r="AG32" s="465" t="str">
        <f>VLOOKUP(B32,'[1]Danh sách khách hàng'!$B:$G,6,FALSE)</f>
        <v>Số 7, hẻm 823/19/2 đường Hồng Hà, Phường Hồng Hà, TP Hà Nội, Việt Nam.</v>
      </c>
      <c r="AH32" s="465"/>
      <c r="AI32" s="465"/>
      <c r="AJ32" s="53"/>
      <c r="AK32" s="53"/>
      <c r="AL32" s="53"/>
      <c r="AM32" s="53"/>
    </row>
    <row r="33" ht="15.75" spans="1:39">
      <c r="A33" s="53">
        <v>32</v>
      </c>
      <c r="B33" s="53">
        <v>2141140010</v>
      </c>
      <c r="C33" s="54" t="s">
        <v>446</v>
      </c>
      <c r="D33" s="54" t="s">
        <v>447</v>
      </c>
      <c r="E33" s="54" t="s">
        <v>448</v>
      </c>
      <c r="F33" s="60" t="s">
        <v>449</v>
      </c>
      <c r="G33" s="432" t="s">
        <v>450</v>
      </c>
      <c r="H33" s="433" t="s">
        <v>451</v>
      </c>
      <c r="I33" s="432" t="s">
        <v>452</v>
      </c>
      <c r="J33" s="54" t="s">
        <v>453</v>
      </c>
      <c r="K33" s="54" t="s">
        <v>453</v>
      </c>
      <c r="L33" s="54" t="s">
        <v>384</v>
      </c>
      <c r="M33" s="60" t="s">
        <v>83</v>
      </c>
      <c r="N33" s="54"/>
      <c r="O33" s="54"/>
      <c r="P33" s="54"/>
      <c r="Q33" s="54"/>
      <c r="R33" s="54"/>
      <c r="S33" s="54"/>
      <c r="T33" s="54"/>
      <c r="U33" s="54"/>
      <c r="V33" s="54" t="s">
        <v>454</v>
      </c>
      <c r="W33" s="54">
        <f t="shared" si="0"/>
        <v>2141140010</v>
      </c>
      <c r="X33" s="54" t="s">
        <v>455</v>
      </c>
      <c r="Y33" s="458" t="s">
        <v>456</v>
      </c>
      <c r="Z33" s="447">
        <v>2366856</v>
      </c>
      <c r="AA33" s="60" t="s">
        <v>49</v>
      </c>
      <c r="AB33" s="54"/>
      <c r="AC33" s="54"/>
      <c r="AD33" s="452" t="s">
        <v>457</v>
      </c>
      <c r="AE33" s="453"/>
      <c r="AF33" s="454" t="s">
        <v>96</v>
      </c>
      <c r="AG33" s="465" t="str">
        <f>VLOOKUP(B33,'[1]Danh sách khách hàng'!$B:$G,6,FALSE)</f>
        <v>Số 16 đường Hưng Yên, Phường Nam Định, Ninh Bình, Việt Nam.</v>
      </c>
      <c r="AH33" s="465"/>
      <c r="AI33" s="465"/>
      <c r="AJ33" s="53"/>
      <c r="AK33" s="53"/>
      <c r="AL33" s="53"/>
      <c r="AM33" s="53"/>
    </row>
    <row r="34" ht="20.25" spans="1:39">
      <c r="A34" s="53">
        <v>33</v>
      </c>
      <c r="B34" s="53">
        <v>2141160010</v>
      </c>
      <c r="C34" s="55" t="s">
        <v>458</v>
      </c>
      <c r="D34" s="54" t="s">
        <v>459</v>
      </c>
      <c r="E34" s="54" t="s">
        <v>460</v>
      </c>
      <c r="F34" s="60" t="s">
        <v>461</v>
      </c>
      <c r="G34" s="432" t="s">
        <v>462</v>
      </c>
      <c r="H34" s="433" t="s">
        <v>463</v>
      </c>
      <c r="I34" s="432" t="s">
        <v>464</v>
      </c>
      <c r="J34" s="54" t="s">
        <v>465</v>
      </c>
      <c r="K34" s="54" t="s">
        <v>466</v>
      </c>
      <c r="L34" s="54" t="s">
        <v>384</v>
      </c>
      <c r="M34" s="60" t="s">
        <v>83</v>
      </c>
      <c r="N34" s="54" t="s">
        <v>467</v>
      </c>
      <c r="O34" s="54" t="s">
        <v>465</v>
      </c>
      <c r="P34" s="54" t="s">
        <v>468</v>
      </c>
      <c r="Q34" s="54"/>
      <c r="R34" s="54"/>
      <c r="S34" s="54"/>
      <c r="T34" s="54"/>
      <c r="U34" s="54"/>
      <c r="V34" s="54" t="s">
        <v>469</v>
      </c>
      <c r="W34" s="54">
        <f t="shared" si="0"/>
        <v>2141160010</v>
      </c>
      <c r="X34" s="54" t="s">
        <v>470</v>
      </c>
      <c r="Y34" s="458" t="s">
        <v>471</v>
      </c>
      <c r="Z34" s="447" t="s">
        <v>472</v>
      </c>
      <c r="AA34" s="60" t="s">
        <v>94</v>
      </c>
      <c r="AB34" s="54"/>
      <c r="AC34" s="54"/>
      <c r="AD34" s="452" t="s">
        <v>473</v>
      </c>
      <c r="AE34" s="453"/>
      <c r="AF34" s="454" t="s">
        <v>96</v>
      </c>
      <c r="AG34" s="465" t="str">
        <f>VLOOKUP(B34,'[1]Danh sách khách hàng'!$B:$G,6,FALSE)</f>
        <v>130 Phạm Đình Hổ, Phường Thanh Khê, TP Đà Nẵng, Việt Nam.</v>
      </c>
      <c r="AH34" s="465"/>
      <c r="AI34" s="465"/>
      <c r="AJ34" s="53"/>
      <c r="AK34" s="53"/>
      <c r="AL34" s="53"/>
      <c r="AM34" s="53"/>
    </row>
    <row r="35" ht="15.75" spans="1:39">
      <c r="A35" s="53">
        <v>34</v>
      </c>
      <c r="B35" s="53">
        <v>2141170010</v>
      </c>
      <c r="C35" s="54" t="s">
        <v>474</v>
      </c>
      <c r="D35" s="54" t="s">
        <v>475</v>
      </c>
      <c r="E35" s="54" t="s">
        <v>476</v>
      </c>
      <c r="F35" s="60" t="s">
        <v>477</v>
      </c>
      <c r="G35" s="432" t="s">
        <v>478</v>
      </c>
      <c r="H35" s="433" t="s">
        <v>479</v>
      </c>
      <c r="I35" s="432" t="s">
        <v>480</v>
      </c>
      <c r="J35" s="54" t="s">
        <v>481</v>
      </c>
      <c r="K35" s="54" t="s">
        <v>482</v>
      </c>
      <c r="L35" s="54" t="s">
        <v>384</v>
      </c>
      <c r="M35" s="60" t="s">
        <v>83</v>
      </c>
      <c r="N35" s="54" t="s">
        <v>483</v>
      </c>
      <c r="O35" s="54" t="s">
        <v>481</v>
      </c>
      <c r="P35" s="54" t="s">
        <v>484</v>
      </c>
      <c r="Q35" s="54"/>
      <c r="R35" s="54"/>
      <c r="S35" s="54"/>
      <c r="T35" s="54"/>
      <c r="U35" s="54"/>
      <c r="V35" s="54" t="s">
        <v>485</v>
      </c>
      <c r="W35" s="54">
        <f t="shared" si="0"/>
        <v>2141170010</v>
      </c>
      <c r="X35" s="54" t="s">
        <v>486</v>
      </c>
      <c r="Y35" s="458" t="s">
        <v>487</v>
      </c>
      <c r="Z35" s="447">
        <v>65526888</v>
      </c>
      <c r="AA35" s="60" t="s">
        <v>113</v>
      </c>
      <c r="AB35" s="54"/>
      <c r="AC35" s="54"/>
      <c r="AD35" s="452" t="s">
        <v>488</v>
      </c>
      <c r="AE35" s="453"/>
      <c r="AF35" s="459" t="s">
        <v>489</v>
      </c>
      <c r="AG35" s="465" t="str">
        <f>VLOOKUP(B35,'[1]Danh sách khách hàng'!$B:$G,6,FALSE)</f>
        <v>NO13-LK13-04, Khu đất dịch vụ LK8, LK9, LK10, LK15, LK21, LK23, LK24, LK26, C6, TH17 đường Nguyễn Thanh Bình, Phường Hà Đông, TP Hà Nội, Việt Nam.</v>
      </c>
      <c r="AH35" s="465"/>
      <c r="AI35" s="465"/>
      <c r="AJ35" s="53"/>
      <c r="AK35" s="53"/>
      <c r="AL35" s="53"/>
      <c r="AM35" s="53"/>
    </row>
    <row r="36" ht="15.75" spans="1:39">
      <c r="A36" s="53">
        <v>35</v>
      </c>
      <c r="B36" s="53">
        <v>2141190020</v>
      </c>
      <c r="C36" s="54" t="s">
        <v>490</v>
      </c>
      <c r="D36" s="54" t="s">
        <v>491</v>
      </c>
      <c r="E36" s="54" t="s">
        <v>492</v>
      </c>
      <c r="F36" s="437" t="s">
        <v>493</v>
      </c>
      <c r="G36" s="432" t="s">
        <v>494</v>
      </c>
      <c r="H36" s="54" t="s">
        <v>495</v>
      </c>
      <c r="I36" s="432" t="s">
        <v>496</v>
      </c>
      <c r="J36" s="54" t="s">
        <v>497</v>
      </c>
      <c r="K36" s="54" t="s">
        <v>497</v>
      </c>
      <c r="L36" s="54" t="s">
        <v>39</v>
      </c>
      <c r="M36" s="437" t="s">
        <v>83</v>
      </c>
      <c r="N36" s="442" t="s">
        <v>498</v>
      </c>
      <c r="O36" s="442" t="s">
        <v>497</v>
      </c>
      <c r="P36" s="442">
        <v>387882186</v>
      </c>
      <c r="Q36" s="54"/>
      <c r="R36" s="54"/>
      <c r="S36" s="54"/>
      <c r="T36" s="54"/>
      <c r="U36" s="54"/>
      <c r="V36" s="54" t="s">
        <v>499</v>
      </c>
      <c r="W36" s="54">
        <f t="shared" si="0"/>
        <v>2141190020</v>
      </c>
      <c r="X36" s="442" t="s">
        <v>500</v>
      </c>
      <c r="Y36" s="54" t="s">
        <v>180</v>
      </c>
      <c r="Z36" s="54">
        <v>21228383</v>
      </c>
      <c r="AA36" s="437" t="s">
        <v>113</v>
      </c>
      <c r="AB36" s="54"/>
      <c r="AC36" s="54"/>
      <c r="AD36" s="460" t="s">
        <v>501</v>
      </c>
      <c r="AE36" s="461"/>
      <c r="AF36" s="459" t="s">
        <v>489</v>
      </c>
      <c r="AG36" s="465" t="str">
        <f>VLOOKUP(B36,'[1]Danh sách khách hàng'!$B:$G,6,FALSE)</f>
        <v>Xóm Già A, Khu 3, Phường Vũ Ninh, Bắc Ninh, Việt Nam.</v>
      </c>
      <c r="AH36" s="53"/>
      <c r="AI36" s="53"/>
      <c r="AJ36" s="53"/>
      <c r="AK36" s="53"/>
      <c r="AL36" s="53"/>
      <c r="AM36" s="53"/>
    </row>
    <row r="37" ht="15.75" spans="1:39">
      <c r="A37" s="53">
        <v>36</v>
      </c>
      <c r="B37" s="53">
        <v>2141190010</v>
      </c>
      <c r="C37" s="54" t="s">
        <v>502</v>
      </c>
      <c r="D37" s="54" t="s">
        <v>503</v>
      </c>
      <c r="E37" s="54" t="s">
        <v>503</v>
      </c>
      <c r="F37" s="437" t="s">
        <v>393</v>
      </c>
      <c r="G37" s="437">
        <v>2401061878</v>
      </c>
      <c r="H37" s="54" t="s">
        <v>504</v>
      </c>
      <c r="I37" s="432" t="s">
        <v>505</v>
      </c>
      <c r="J37" s="54" t="s">
        <v>506</v>
      </c>
      <c r="K37" s="54" t="s">
        <v>506</v>
      </c>
      <c r="L37" s="54" t="s">
        <v>39</v>
      </c>
      <c r="M37" s="437" t="s">
        <v>83</v>
      </c>
      <c r="N37" s="443" t="s">
        <v>507</v>
      </c>
      <c r="O37" s="54" t="s">
        <v>399</v>
      </c>
      <c r="P37" s="54" t="s">
        <v>400</v>
      </c>
      <c r="Q37" s="54"/>
      <c r="R37" s="54"/>
      <c r="S37" s="54"/>
      <c r="T37" s="54"/>
      <c r="U37" s="54"/>
      <c r="V37" s="54" t="s">
        <v>508</v>
      </c>
      <c r="W37" s="54">
        <f t="shared" si="0"/>
        <v>2141190010</v>
      </c>
      <c r="X37" s="442" t="s">
        <v>500</v>
      </c>
      <c r="Y37" s="54" t="s">
        <v>180</v>
      </c>
      <c r="Z37" s="432" t="s">
        <v>509</v>
      </c>
      <c r="AA37" s="437" t="s">
        <v>113</v>
      </c>
      <c r="AB37" s="54"/>
      <c r="AC37" s="54"/>
      <c r="AD37" s="462" t="s">
        <v>510</v>
      </c>
      <c r="AE37" s="462"/>
      <c r="AF37" s="459" t="s">
        <v>489</v>
      </c>
      <c r="AG37" s="465" t="str">
        <f>VLOOKUP(B37,'[1]Danh sách khách hàng'!$B:$G,6,FALSE)</f>
        <v>Đường Nguyễn Thái Học, Tổ Dân Phố Xóm Ba, Phường Đa Mai, Bắc Ninh, Việt Nam.</v>
      </c>
      <c r="AH37" s="53"/>
      <c r="AI37" s="53"/>
      <c r="AJ37" s="53"/>
      <c r="AK37" s="53"/>
      <c r="AL37" s="53"/>
      <c r="AM37" s="53"/>
    </row>
    <row r="38" ht="15.75" spans="1:39">
      <c r="A38" s="53">
        <v>37</v>
      </c>
      <c r="B38" s="53">
        <v>2141290010</v>
      </c>
      <c r="C38" s="54" t="s">
        <v>511</v>
      </c>
      <c r="D38" s="437" t="s">
        <v>512</v>
      </c>
      <c r="E38" s="54" t="s">
        <v>513</v>
      </c>
      <c r="F38" s="437" t="s">
        <v>514</v>
      </c>
      <c r="G38" s="432" t="s">
        <v>515</v>
      </c>
      <c r="H38" s="54" t="s">
        <v>516</v>
      </c>
      <c r="I38" s="432" t="s">
        <v>517</v>
      </c>
      <c r="J38" s="54" t="s">
        <v>518</v>
      </c>
      <c r="K38" s="54" t="s">
        <v>518</v>
      </c>
      <c r="L38" s="54" t="s">
        <v>39</v>
      </c>
      <c r="M38" s="437" t="s">
        <v>83</v>
      </c>
      <c r="N38" s="442" t="s">
        <v>519</v>
      </c>
      <c r="O38" s="442" t="s">
        <v>518</v>
      </c>
      <c r="P38" s="54">
        <v>913237269</v>
      </c>
      <c r="Q38" s="54"/>
      <c r="R38" s="54"/>
      <c r="S38" s="54"/>
      <c r="T38" s="54"/>
      <c r="U38" s="54"/>
      <c r="V38" s="448" t="s">
        <v>520</v>
      </c>
      <c r="W38" s="54">
        <f t="shared" si="0"/>
        <v>2141290010</v>
      </c>
      <c r="X38" s="54" t="s">
        <v>521</v>
      </c>
      <c r="Y38" s="437" t="s">
        <v>522</v>
      </c>
      <c r="Z38" s="432" t="s">
        <v>523</v>
      </c>
      <c r="AA38" s="437" t="s">
        <v>113</v>
      </c>
      <c r="AB38" s="54"/>
      <c r="AC38" s="54"/>
      <c r="AD38" s="460" t="s">
        <v>524</v>
      </c>
      <c r="AE38" s="461"/>
      <c r="AF38" s="459" t="s">
        <v>489</v>
      </c>
      <c r="AG38" s="465" t="str">
        <f>VLOOKUP(B38,'[1]Danh sách khách hàng'!$B:$G,6,FALSE)</f>
        <v>SN B11, S17 Khu Đô Thị Phượng Hoàng, Thôn 13, Phường Móng Cái 1, Quảng Ninh, Việt Nam.</v>
      </c>
      <c r="AH38" s="53"/>
      <c r="AI38" s="53"/>
      <c r="AJ38" s="53"/>
      <c r="AK38" s="53"/>
      <c r="AL38" s="53"/>
      <c r="AM38" s="53"/>
    </row>
    <row r="39" ht="15.75" spans="1:39">
      <c r="A39" s="53">
        <v>38</v>
      </c>
      <c r="B39" s="53">
        <v>2141040020</v>
      </c>
      <c r="C39" s="54" t="s">
        <v>525</v>
      </c>
      <c r="D39" s="437" t="s">
        <v>526</v>
      </c>
      <c r="E39" s="54" t="s">
        <v>527</v>
      </c>
      <c r="F39" s="437" t="s">
        <v>528</v>
      </c>
      <c r="G39" s="432" t="s">
        <v>529</v>
      </c>
      <c r="H39" s="54" t="s">
        <v>530</v>
      </c>
      <c r="I39" s="432" t="s">
        <v>531</v>
      </c>
      <c r="J39" s="54" t="s">
        <v>532</v>
      </c>
      <c r="K39" s="54" t="s">
        <v>532</v>
      </c>
      <c r="L39" s="54" t="s">
        <v>39</v>
      </c>
      <c r="M39" s="437" t="s">
        <v>83</v>
      </c>
      <c r="N39" s="442" t="s">
        <v>533</v>
      </c>
      <c r="O39" s="442" t="s">
        <v>532</v>
      </c>
      <c r="P39" s="442">
        <v>868251224</v>
      </c>
      <c r="Q39" s="54"/>
      <c r="R39" s="54"/>
      <c r="S39" s="54"/>
      <c r="T39" s="54"/>
      <c r="U39" s="54"/>
      <c r="V39" s="54" t="s">
        <v>534</v>
      </c>
      <c r="W39" s="54">
        <f t="shared" si="0"/>
        <v>2141040020</v>
      </c>
      <c r="X39" s="442" t="s">
        <v>535</v>
      </c>
      <c r="Y39" s="437" t="s">
        <v>536</v>
      </c>
      <c r="Z39" s="442">
        <v>5300836228</v>
      </c>
      <c r="AA39" s="437" t="s">
        <v>113</v>
      </c>
      <c r="AB39" s="54"/>
      <c r="AC39" s="54"/>
      <c r="AD39" s="460" t="s">
        <v>537</v>
      </c>
      <c r="AE39" s="461"/>
      <c r="AF39" s="459" t="s">
        <v>489</v>
      </c>
      <c r="AG39" s="465" t="str">
        <f>VLOOKUP(B39,'[1]Danh sách khách hàng'!$B:$G,6,FALSE)</f>
        <v>Số nhà 073, Thôn Hồng Giang, Phường Lào Cai, Lào Cai, Việt Nam.</v>
      </c>
      <c r="AH39" s="53"/>
      <c r="AI39" s="53"/>
      <c r="AJ39" s="53"/>
      <c r="AK39" s="53"/>
      <c r="AL39" s="53"/>
      <c r="AM39" s="53"/>
    </row>
    <row r="40" ht="15.75" spans="1:39">
      <c r="A40" s="53">
        <v>39</v>
      </c>
      <c r="B40" s="59">
        <v>2141020200</v>
      </c>
      <c r="C40" s="60" t="s">
        <v>538</v>
      </c>
      <c r="D40" s="53" t="s">
        <v>539</v>
      </c>
      <c r="E40" t="s">
        <v>540</v>
      </c>
      <c r="F40" s="438" t="s">
        <v>541</v>
      </c>
      <c r="G40" s="439" t="s">
        <v>542</v>
      </c>
      <c r="H40" s="440" t="s">
        <v>543</v>
      </c>
      <c r="I40" s="439" t="s">
        <v>544</v>
      </c>
      <c r="J40" s="53" t="s">
        <v>545</v>
      </c>
      <c r="K40" s="438" t="s">
        <v>546</v>
      </c>
      <c r="L40" s="444" t="s">
        <v>547</v>
      </c>
      <c r="M40" t="s">
        <v>548</v>
      </c>
      <c r="N40" s="53"/>
      <c r="O40" s="53"/>
      <c r="P40" s="53"/>
      <c r="Q40" s="53"/>
      <c r="R40" s="53"/>
      <c r="S40" s="53"/>
      <c r="T40" s="53"/>
      <c r="U40" s="53"/>
      <c r="V40" s="53"/>
      <c r="W40" s="54">
        <f t="shared" si="0"/>
        <v>2141020200</v>
      </c>
      <c r="X40" t="s">
        <v>549</v>
      </c>
      <c r="Y40" s="53" t="s">
        <v>550</v>
      </c>
      <c r="Z40" s="467" t="s">
        <v>551</v>
      </c>
      <c r="AA40" s="53"/>
      <c r="AB40" s="53"/>
      <c r="AC40" s="53"/>
      <c r="AD40" s="463" t="s">
        <v>552</v>
      </c>
      <c r="AE40" s="53"/>
      <c r="AF40" s="459" t="s">
        <v>489</v>
      </c>
      <c r="AG40" s="465"/>
      <c r="AH40" s="53"/>
      <c r="AI40" s="53"/>
      <c r="AJ40" s="53"/>
      <c r="AK40" s="53"/>
      <c r="AL40" s="53"/>
      <c r="AM40" s="53"/>
    </row>
    <row r="41" ht="15.75" spans="1:39">
      <c r="A41" s="53">
        <v>40</v>
      </c>
      <c r="B41" s="59">
        <v>2141020240</v>
      </c>
      <c r="C41" s="60" t="s">
        <v>553</v>
      </c>
      <c r="D41" s="53" t="s">
        <v>554</v>
      </c>
      <c r="E41" t="s">
        <v>555</v>
      </c>
      <c r="F41" s="438" t="s">
        <v>556</v>
      </c>
      <c r="G41" s="432" t="s">
        <v>557</v>
      </c>
      <c r="H41" s="433" t="s">
        <v>558</v>
      </c>
      <c r="I41" s="432" t="s">
        <v>559</v>
      </c>
      <c r="J41" s="54" t="s">
        <v>560</v>
      </c>
      <c r="K41" s="54" t="s">
        <v>561</v>
      </c>
      <c r="L41" s="54" t="s">
        <v>39</v>
      </c>
      <c r="M41" s="437" t="s">
        <v>83</v>
      </c>
      <c r="N41" s="53"/>
      <c r="O41" s="53"/>
      <c r="P41" s="53"/>
      <c r="Q41" s="53"/>
      <c r="R41" s="53"/>
      <c r="S41" s="53"/>
      <c r="T41" t="s">
        <v>562</v>
      </c>
      <c r="U41" s="53" t="s">
        <v>563</v>
      </c>
      <c r="V41" s="449" t="s">
        <v>564</v>
      </c>
      <c r="W41" s="54">
        <f t="shared" si="0"/>
        <v>2141020240</v>
      </c>
      <c r="X41" s="54" t="s">
        <v>565</v>
      </c>
      <c r="Y41" s="463" t="s">
        <v>566</v>
      </c>
      <c r="Z41" s="63">
        <v>655667899</v>
      </c>
      <c r="AA41" s="60" t="s">
        <v>94</v>
      </c>
      <c r="AB41" s="53"/>
      <c r="AC41" s="53"/>
      <c r="AD41" s="54" t="s">
        <v>567</v>
      </c>
      <c r="AE41" s="53"/>
      <c r="AF41" s="459" t="s">
        <v>489</v>
      </c>
      <c r="AG41" s="465"/>
      <c r="AH41" s="53"/>
      <c r="AI41" s="53"/>
      <c r="AJ41" s="53"/>
      <c r="AK41" s="53"/>
      <c r="AL41" s="53"/>
      <c r="AM41" s="53"/>
    </row>
    <row r="42" ht="15.75" spans="1:39">
      <c r="A42" s="53">
        <v>41</v>
      </c>
      <c r="B42" s="59">
        <v>2141180010</v>
      </c>
      <c r="C42" s="60" t="s">
        <v>568</v>
      </c>
      <c r="D42" s="53" t="s">
        <v>569</v>
      </c>
      <c r="E42" s="53" t="s">
        <v>570</v>
      </c>
      <c r="F42" s="438" t="s">
        <v>571</v>
      </c>
      <c r="G42" s="432" t="s">
        <v>572</v>
      </c>
      <c r="H42" s="433" t="s">
        <v>573</v>
      </c>
      <c r="I42" s="432" t="s">
        <v>574</v>
      </c>
      <c r="J42" s="54" t="s">
        <v>575</v>
      </c>
      <c r="K42" s="54" t="s">
        <v>576</v>
      </c>
      <c r="L42" s="54" t="s">
        <v>39</v>
      </c>
      <c r="M42" s="437" t="s">
        <v>83</v>
      </c>
      <c r="N42" s="53"/>
      <c r="O42" s="53"/>
      <c r="P42" s="53"/>
      <c r="Q42" s="53"/>
      <c r="R42" s="53"/>
      <c r="S42" s="53"/>
      <c r="T42" s="53"/>
      <c r="U42" s="53"/>
      <c r="V42" s="53"/>
      <c r="W42" s="54">
        <f t="shared" si="0"/>
        <v>2141180010</v>
      </c>
      <c r="X42" s="54" t="s">
        <v>577</v>
      </c>
      <c r="Y42" s="463" t="s">
        <v>578</v>
      </c>
      <c r="Z42" s="63">
        <v>2225667888</v>
      </c>
      <c r="AA42" s="53"/>
      <c r="AB42" s="53"/>
      <c r="AC42" s="53"/>
      <c r="AD42" s="463" t="s">
        <v>579</v>
      </c>
      <c r="AE42" s="53"/>
      <c r="AF42" s="459" t="s">
        <v>580</v>
      </c>
      <c r="AG42" s="465"/>
      <c r="AH42" s="53"/>
      <c r="AI42" s="53"/>
      <c r="AJ42" s="53"/>
      <c r="AK42" s="53"/>
      <c r="AL42" s="53"/>
      <c r="AM42" s="53"/>
    </row>
    <row r="43" ht="15.75" spans="1:39">
      <c r="A43" s="53">
        <v>42</v>
      </c>
      <c r="B43" s="61">
        <v>2141150010</v>
      </c>
      <c r="C43" s="60" t="s">
        <v>581</v>
      </c>
      <c r="D43" s="54" t="s">
        <v>184</v>
      </c>
      <c r="E43" s="54" t="s">
        <v>185</v>
      </c>
      <c r="F43" s="60" t="s">
        <v>582</v>
      </c>
      <c r="G43" s="432" t="s">
        <v>187</v>
      </c>
      <c r="H43" s="433" t="s">
        <v>188</v>
      </c>
      <c r="I43" s="432"/>
      <c r="J43" s="54" t="s">
        <v>189</v>
      </c>
      <c r="K43" s="54" t="s">
        <v>189</v>
      </c>
      <c r="L43" s="54" t="s">
        <v>39</v>
      </c>
      <c r="M43" s="60" t="s">
        <v>83</v>
      </c>
      <c r="N43" s="54" t="s">
        <v>190</v>
      </c>
      <c r="O43" s="54"/>
      <c r="P43" s="54"/>
      <c r="Q43" s="54" t="s">
        <v>86</v>
      </c>
      <c r="R43" s="60" t="s">
        <v>66</v>
      </c>
      <c r="S43" s="54"/>
      <c r="T43" s="54"/>
      <c r="U43" s="54"/>
      <c r="V43" s="54" t="s">
        <v>191</v>
      </c>
      <c r="W43" s="54">
        <f t="shared" si="0"/>
        <v>2141150010</v>
      </c>
      <c r="X43" s="54"/>
      <c r="Y43" s="54"/>
      <c r="Z43" s="54"/>
      <c r="AA43" s="60" t="s">
        <v>94</v>
      </c>
      <c r="AB43" s="54"/>
      <c r="AC43" s="54"/>
      <c r="AD43" s="452" t="s">
        <v>192</v>
      </c>
      <c r="AE43" s="453"/>
      <c r="AF43" s="454" t="s">
        <v>583</v>
      </c>
      <c r="AG43" s="465"/>
      <c r="AH43" s="53"/>
      <c r="AI43" s="53"/>
      <c r="AJ43" s="53"/>
      <c r="AK43" s="53"/>
      <c r="AL43" s="53"/>
      <c r="AM43" s="53"/>
    </row>
    <row r="44" ht="15.75" spans="1:39">
      <c r="A44" s="53"/>
      <c r="B44" s="53"/>
      <c r="C44" s="54"/>
      <c r="D44" s="53"/>
      <c r="E44" s="53"/>
      <c r="F44" s="53"/>
      <c r="G44" s="439"/>
      <c r="H44" s="440"/>
      <c r="I44" s="439"/>
      <c r="J44" s="53"/>
      <c r="K44" s="53"/>
      <c r="L44" s="53"/>
      <c r="M44" s="53"/>
      <c r="N44" s="53"/>
      <c r="O44" s="53"/>
      <c r="P44" s="53"/>
      <c r="Q44" s="53"/>
      <c r="R44" s="53"/>
      <c r="S44" s="53"/>
      <c r="T44" s="53"/>
      <c r="U44" s="53"/>
      <c r="V44" s="53"/>
      <c r="W44" s="53"/>
      <c r="X44" s="53"/>
      <c r="Y44" s="53"/>
      <c r="Z44" s="53"/>
      <c r="AA44" s="53"/>
      <c r="AB44" s="53"/>
      <c r="AC44" s="53"/>
      <c r="AD44" s="53"/>
      <c r="AE44" s="53"/>
      <c r="AF44" s="438"/>
      <c r="AG44" s="465"/>
      <c r="AH44" s="53"/>
      <c r="AI44" s="53"/>
      <c r="AJ44" s="53"/>
      <c r="AK44" s="53"/>
      <c r="AL44" s="53"/>
      <c r="AM44" s="53"/>
    </row>
    <row r="45" ht="15.75" spans="1:39">
      <c r="A45" s="53"/>
      <c r="B45" s="53"/>
      <c r="C45" s="54"/>
      <c r="D45" s="53"/>
      <c r="E45" s="53"/>
      <c r="F45" s="53"/>
      <c r="G45" s="439"/>
      <c r="H45" s="440"/>
      <c r="I45" s="439"/>
      <c r="J45" s="53"/>
      <c r="K45" s="53"/>
      <c r="L45" s="53"/>
      <c r="M45" s="53"/>
      <c r="N45" s="53"/>
      <c r="O45" s="53"/>
      <c r="P45" s="53"/>
      <c r="Q45" s="53"/>
      <c r="R45" s="53"/>
      <c r="S45" s="53"/>
      <c r="T45" s="53"/>
      <c r="U45" s="53"/>
      <c r="V45" s="53"/>
      <c r="W45" s="53"/>
      <c r="X45" s="53"/>
      <c r="Y45" s="53"/>
      <c r="Z45" s="53"/>
      <c r="AA45" s="53"/>
      <c r="AB45" s="53"/>
      <c r="AC45" s="53"/>
      <c r="AD45" s="53"/>
      <c r="AE45" s="53"/>
      <c r="AF45" s="53"/>
      <c r="AG45" s="465"/>
      <c r="AH45" s="53"/>
      <c r="AI45" s="53"/>
      <c r="AJ45" s="53"/>
      <c r="AK45" s="53"/>
      <c r="AL45" s="53"/>
      <c r="AM45" s="53"/>
    </row>
    <row r="46" ht="15.75" spans="1:39">
      <c r="A46" s="53"/>
      <c r="B46" s="53"/>
      <c r="C46" s="54"/>
      <c r="D46" s="53"/>
      <c r="E46" s="53"/>
      <c r="F46" s="53"/>
      <c r="G46" s="439"/>
      <c r="H46" s="440"/>
      <c r="I46" s="439"/>
      <c r="J46" s="53"/>
      <c r="K46" s="53"/>
      <c r="L46" s="53"/>
      <c r="M46" s="53"/>
      <c r="N46" s="53"/>
      <c r="O46" s="53"/>
      <c r="P46" s="53"/>
      <c r="Q46" s="53"/>
      <c r="R46" s="53"/>
      <c r="S46" s="53"/>
      <c r="T46" s="53"/>
      <c r="U46" s="53"/>
      <c r="V46" s="53"/>
      <c r="W46" s="53"/>
      <c r="X46" s="53"/>
      <c r="Y46" s="53"/>
      <c r="Z46" s="53"/>
      <c r="AA46" s="53"/>
      <c r="AB46" s="53"/>
      <c r="AC46" s="53"/>
      <c r="AD46" s="53"/>
      <c r="AE46" s="53"/>
      <c r="AF46" s="53"/>
      <c r="AG46" s="465"/>
      <c r="AH46" s="53"/>
      <c r="AI46" s="53"/>
      <c r="AJ46" s="53"/>
      <c r="AK46" s="53"/>
      <c r="AL46" s="53"/>
      <c r="AM46" s="53"/>
    </row>
    <row r="47" ht="15.75" spans="1:39">
      <c r="A47" s="53"/>
      <c r="B47" s="53"/>
      <c r="C47" s="54"/>
      <c r="D47" s="53"/>
      <c r="E47" s="53"/>
      <c r="F47" s="53"/>
      <c r="G47" s="439"/>
      <c r="H47" s="440"/>
      <c r="I47" s="439"/>
      <c r="J47" s="53"/>
      <c r="K47" s="53"/>
      <c r="L47" s="53"/>
      <c r="M47" s="53"/>
      <c r="N47" s="53"/>
      <c r="O47" s="53"/>
      <c r="P47" s="53"/>
      <c r="Q47" s="53"/>
      <c r="R47" s="53"/>
      <c r="S47" s="53"/>
      <c r="T47" s="53"/>
      <c r="U47" s="53"/>
      <c r="V47" s="53"/>
      <c r="W47" s="53"/>
      <c r="X47" s="53"/>
      <c r="Y47" s="53"/>
      <c r="Z47" s="53"/>
      <c r="AA47" s="53"/>
      <c r="AB47" s="53"/>
      <c r="AC47" s="53"/>
      <c r="AD47" s="53"/>
      <c r="AE47" s="53"/>
      <c r="AF47" s="53"/>
      <c r="AG47" s="465"/>
      <c r="AH47" s="53"/>
      <c r="AI47" s="53"/>
      <c r="AJ47" s="53"/>
      <c r="AK47" s="53"/>
      <c r="AL47" s="53"/>
      <c r="AM47" s="53"/>
    </row>
    <row r="48" ht="15.75" spans="1:39">
      <c r="A48" s="53"/>
      <c r="B48" s="53"/>
      <c r="C48" s="54"/>
      <c r="D48" s="53"/>
      <c r="E48" s="53"/>
      <c r="F48" s="53"/>
      <c r="G48" s="439"/>
      <c r="H48" s="440"/>
      <c r="I48" s="439"/>
      <c r="J48" s="53"/>
      <c r="K48" s="53"/>
      <c r="L48" s="53"/>
      <c r="M48" s="53"/>
      <c r="N48" s="53"/>
      <c r="O48" s="53"/>
      <c r="P48" s="53"/>
      <c r="Q48" s="53"/>
      <c r="R48" s="53"/>
      <c r="S48" s="53"/>
      <c r="T48" s="53"/>
      <c r="U48" s="53"/>
      <c r="V48" s="53"/>
      <c r="W48" s="53"/>
      <c r="X48" s="53"/>
      <c r="Y48" s="53"/>
      <c r="Z48" s="53"/>
      <c r="AA48" s="53"/>
      <c r="AB48" s="53"/>
      <c r="AC48" s="53"/>
      <c r="AD48" s="53"/>
      <c r="AE48" s="53"/>
      <c r="AF48" s="53"/>
      <c r="AG48" s="465"/>
      <c r="AH48" s="53"/>
      <c r="AI48" s="53"/>
      <c r="AJ48" s="53"/>
      <c r="AK48" s="53"/>
      <c r="AL48" s="53"/>
      <c r="AM48" s="53"/>
    </row>
    <row r="49" ht="15.75" spans="1:39">
      <c r="A49" s="53"/>
      <c r="B49" s="53"/>
      <c r="C49" s="54"/>
      <c r="D49" s="53"/>
      <c r="E49" s="53"/>
      <c r="F49" s="53"/>
      <c r="G49" s="439"/>
      <c r="H49" s="440"/>
      <c r="I49" s="439"/>
      <c r="J49" s="53"/>
      <c r="K49" s="53"/>
      <c r="L49" s="53"/>
      <c r="M49" s="53"/>
      <c r="N49" s="53"/>
      <c r="O49" s="53"/>
      <c r="P49" s="53"/>
      <c r="Q49" s="53"/>
      <c r="R49" s="53"/>
      <c r="S49" s="53"/>
      <c r="T49" s="53"/>
      <c r="U49" s="53"/>
      <c r="V49" s="53"/>
      <c r="W49" s="53"/>
      <c r="X49" s="53"/>
      <c r="Y49" s="53"/>
      <c r="Z49" s="53"/>
      <c r="AA49" s="53"/>
      <c r="AB49" s="53"/>
      <c r="AC49" s="53"/>
      <c r="AD49" s="53"/>
      <c r="AE49" s="53"/>
      <c r="AF49" s="53"/>
      <c r="AG49" s="465"/>
      <c r="AH49" s="53"/>
      <c r="AI49" s="53"/>
      <c r="AJ49" s="53"/>
      <c r="AK49" s="53"/>
      <c r="AL49" s="53"/>
      <c r="AM49" s="53"/>
    </row>
    <row r="50" ht="15.75" spans="1:39">
      <c r="A50" s="53"/>
      <c r="B50" s="53"/>
      <c r="C50" s="54"/>
      <c r="D50" s="53"/>
      <c r="E50" s="53"/>
      <c r="F50" s="53"/>
      <c r="G50" s="439"/>
      <c r="H50" s="440"/>
      <c r="I50" s="439"/>
      <c r="J50" s="53"/>
      <c r="K50" s="53"/>
      <c r="L50" s="53"/>
      <c r="M50" s="53"/>
      <c r="N50" s="53"/>
      <c r="O50" s="53"/>
      <c r="P50" s="53"/>
      <c r="Q50" s="53"/>
      <c r="R50" s="53"/>
      <c r="S50" s="53"/>
      <c r="T50" s="53"/>
      <c r="U50" s="53"/>
      <c r="V50" s="53"/>
      <c r="W50" s="53"/>
      <c r="X50" s="53"/>
      <c r="Y50" s="53"/>
      <c r="Z50" s="53"/>
      <c r="AA50" s="53"/>
      <c r="AB50" s="53"/>
      <c r="AC50" s="53"/>
      <c r="AD50" s="53"/>
      <c r="AE50" s="53"/>
      <c r="AF50" s="53"/>
      <c r="AG50" s="465"/>
      <c r="AH50" s="53"/>
      <c r="AI50" s="53"/>
      <c r="AJ50" s="53"/>
      <c r="AK50" s="53"/>
      <c r="AL50" s="53"/>
      <c r="AM50" s="53"/>
    </row>
    <row r="51" ht="15.75" spans="1:39">
      <c r="A51" s="53"/>
      <c r="B51" s="53"/>
      <c r="C51" s="54"/>
      <c r="D51" s="53"/>
      <c r="E51" s="53"/>
      <c r="F51" s="53"/>
      <c r="G51" s="439"/>
      <c r="H51" s="440"/>
      <c r="I51" s="439"/>
      <c r="J51" s="53"/>
      <c r="K51" s="53"/>
      <c r="L51" s="53"/>
      <c r="M51" s="53"/>
      <c r="N51" s="53"/>
      <c r="O51" s="53"/>
      <c r="P51" s="53"/>
      <c r="Q51" s="53"/>
      <c r="R51" s="53"/>
      <c r="S51" s="53"/>
      <c r="T51" s="53"/>
      <c r="U51" s="53"/>
      <c r="V51" s="53"/>
      <c r="W51" s="53"/>
      <c r="X51" s="53"/>
      <c r="Y51" s="53"/>
      <c r="Z51" s="53"/>
      <c r="AA51" s="53"/>
      <c r="AB51" s="53"/>
      <c r="AC51" s="53"/>
      <c r="AD51" s="53"/>
      <c r="AE51" s="53"/>
      <c r="AF51" s="53"/>
      <c r="AG51" s="465"/>
      <c r="AH51" s="53"/>
      <c r="AI51" s="53"/>
      <c r="AJ51" s="53"/>
      <c r="AK51" s="53"/>
      <c r="AL51" s="53"/>
      <c r="AM51" s="53"/>
    </row>
    <row r="52" ht="15.75" spans="1:39">
      <c r="A52" s="53"/>
      <c r="B52" s="53"/>
      <c r="C52" s="54"/>
      <c r="D52" s="53"/>
      <c r="E52" s="53"/>
      <c r="F52" s="53"/>
      <c r="G52" s="439"/>
      <c r="H52" s="440"/>
      <c r="I52" s="439"/>
      <c r="J52" s="53"/>
      <c r="K52" s="53"/>
      <c r="L52" s="53"/>
      <c r="M52" s="53"/>
      <c r="N52" s="53"/>
      <c r="O52" s="53"/>
      <c r="P52" s="53"/>
      <c r="Q52" s="53"/>
      <c r="R52" s="53"/>
      <c r="S52" s="53"/>
      <c r="T52" s="53"/>
      <c r="U52" s="53"/>
      <c r="V52" s="53"/>
      <c r="W52" s="53"/>
      <c r="X52" s="53"/>
      <c r="Y52" s="53"/>
      <c r="Z52" s="53"/>
      <c r="AA52" s="53"/>
      <c r="AB52" s="53"/>
      <c r="AC52" s="53"/>
      <c r="AD52" s="53"/>
      <c r="AE52" s="53"/>
      <c r="AF52" s="53"/>
      <c r="AG52" s="465"/>
      <c r="AH52" s="53"/>
      <c r="AI52" s="53"/>
      <c r="AJ52" s="53"/>
      <c r="AK52" s="53"/>
      <c r="AL52" s="53"/>
      <c r="AM52" s="53"/>
    </row>
    <row r="53" ht="15.75" spans="1:39">
      <c r="A53" s="53"/>
      <c r="B53" s="53"/>
      <c r="C53" s="54"/>
      <c r="D53" s="53"/>
      <c r="E53" s="53"/>
      <c r="F53" s="53"/>
      <c r="G53" s="439"/>
      <c r="H53" s="440"/>
      <c r="I53" s="439"/>
      <c r="J53" s="53"/>
      <c r="K53" s="53"/>
      <c r="L53" s="53"/>
      <c r="M53" s="53"/>
      <c r="N53" s="53"/>
      <c r="O53" s="53"/>
      <c r="P53" s="53"/>
      <c r="Q53" s="53"/>
      <c r="R53" s="53"/>
      <c r="S53" s="53"/>
      <c r="T53" s="53"/>
      <c r="U53" s="53"/>
      <c r="V53" s="53"/>
      <c r="W53" s="53"/>
      <c r="X53" s="53"/>
      <c r="Y53" s="53"/>
      <c r="Z53" s="53"/>
      <c r="AA53" s="53"/>
      <c r="AB53" s="53"/>
      <c r="AC53" s="53"/>
      <c r="AD53" s="53"/>
      <c r="AE53" s="53"/>
      <c r="AF53" s="53"/>
      <c r="AG53" s="465"/>
      <c r="AH53" s="53"/>
      <c r="AI53" s="53"/>
      <c r="AJ53" s="53"/>
      <c r="AK53" s="53"/>
      <c r="AL53" s="53"/>
      <c r="AM53" s="53"/>
    </row>
    <row r="54" ht="15.75" spans="1:39">
      <c r="A54" s="53"/>
      <c r="B54" s="53"/>
      <c r="C54" s="54"/>
      <c r="D54" s="53"/>
      <c r="E54" s="53"/>
      <c r="F54" s="53"/>
      <c r="G54" s="439"/>
      <c r="H54" s="440"/>
      <c r="I54" s="439"/>
      <c r="J54" s="53"/>
      <c r="K54" s="53"/>
      <c r="L54" s="53"/>
      <c r="M54" s="53"/>
      <c r="N54" s="53"/>
      <c r="O54" s="53"/>
      <c r="P54" s="53"/>
      <c r="Q54" s="53"/>
      <c r="R54" s="53"/>
      <c r="S54" s="53"/>
      <c r="T54" s="53"/>
      <c r="U54" s="53"/>
      <c r="V54" s="53"/>
      <c r="W54" s="53"/>
      <c r="X54" s="53"/>
      <c r="Y54" s="53"/>
      <c r="Z54" s="53"/>
      <c r="AA54" s="53"/>
      <c r="AB54" s="53"/>
      <c r="AC54" s="53"/>
      <c r="AD54" s="53"/>
      <c r="AE54" s="53"/>
      <c r="AF54" s="53"/>
      <c r="AG54" s="465"/>
      <c r="AH54" s="53"/>
      <c r="AI54" s="53"/>
      <c r="AJ54" s="53"/>
      <c r="AK54" s="53"/>
      <c r="AL54" s="53"/>
      <c r="AM54" s="53"/>
    </row>
    <row r="55" ht="15.75" spans="1:39">
      <c r="A55" s="53"/>
      <c r="B55" s="53"/>
      <c r="C55" s="54"/>
      <c r="D55" s="53"/>
      <c r="E55" s="53"/>
      <c r="F55" s="53"/>
      <c r="G55" s="439"/>
      <c r="H55" s="440"/>
      <c r="I55" s="439"/>
      <c r="J55" s="53"/>
      <c r="K55" s="53"/>
      <c r="L55" s="53"/>
      <c r="M55" s="53"/>
      <c r="N55" s="53"/>
      <c r="O55" s="53"/>
      <c r="P55" s="53"/>
      <c r="Q55" s="53"/>
      <c r="R55" s="53"/>
      <c r="S55" s="53"/>
      <c r="T55" s="53"/>
      <c r="U55" s="53"/>
      <c r="V55" s="53"/>
      <c r="W55" s="53"/>
      <c r="X55" s="53"/>
      <c r="Y55" s="53"/>
      <c r="Z55" s="53"/>
      <c r="AA55" s="53"/>
      <c r="AB55" s="53"/>
      <c r="AC55" s="53"/>
      <c r="AD55" s="53"/>
      <c r="AE55" s="53"/>
      <c r="AF55" s="53"/>
      <c r="AG55" s="465"/>
      <c r="AH55" s="53"/>
      <c r="AI55" s="53"/>
      <c r="AJ55" s="53"/>
      <c r="AK55" s="53"/>
      <c r="AL55" s="53"/>
      <c r="AM55" s="53"/>
    </row>
    <row r="56" ht="15.75" spans="1:39">
      <c r="A56" s="53"/>
      <c r="B56" s="53"/>
      <c r="C56" s="54"/>
      <c r="D56" s="53"/>
      <c r="E56" s="53"/>
      <c r="F56" s="53"/>
      <c r="G56" s="439"/>
      <c r="H56" s="440"/>
      <c r="I56" s="439"/>
      <c r="J56" s="53"/>
      <c r="K56" s="53"/>
      <c r="L56" s="53"/>
      <c r="M56" s="53"/>
      <c r="N56" s="53"/>
      <c r="O56" s="53"/>
      <c r="P56" s="53"/>
      <c r="Q56" s="53"/>
      <c r="R56" s="53"/>
      <c r="S56" s="53"/>
      <c r="T56" s="53"/>
      <c r="U56" s="53"/>
      <c r="V56" s="53"/>
      <c r="W56" s="53"/>
      <c r="X56" s="53"/>
      <c r="Y56" s="53"/>
      <c r="Z56" s="53"/>
      <c r="AA56" s="53"/>
      <c r="AB56" s="53"/>
      <c r="AC56" s="53"/>
      <c r="AD56" s="53"/>
      <c r="AE56" s="53"/>
      <c r="AF56" s="53"/>
      <c r="AG56" s="465"/>
      <c r="AH56" s="53"/>
      <c r="AI56" s="53"/>
      <c r="AJ56" s="53"/>
      <c r="AK56" s="53"/>
      <c r="AL56" s="53"/>
      <c r="AM56" s="53"/>
    </row>
    <row r="57" ht="15.75" spans="1:39">
      <c r="A57" s="53"/>
      <c r="B57" s="53"/>
      <c r="C57" s="54"/>
      <c r="D57" s="53"/>
      <c r="E57" s="53"/>
      <c r="F57" s="53"/>
      <c r="G57" s="439"/>
      <c r="H57" s="440"/>
      <c r="I57" s="439"/>
      <c r="J57" s="53"/>
      <c r="K57" s="53"/>
      <c r="L57" s="53"/>
      <c r="M57" s="53"/>
      <c r="N57" s="53"/>
      <c r="O57" s="53"/>
      <c r="P57" s="53"/>
      <c r="Q57" s="53"/>
      <c r="R57" s="53"/>
      <c r="S57" s="53"/>
      <c r="T57" s="53"/>
      <c r="U57" s="53"/>
      <c r="V57" s="53"/>
      <c r="W57" s="53"/>
      <c r="X57" s="53"/>
      <c r="Y57" s="53"/>
      <c r="Z57" s="53"/>
      <c r="AA57" s="53"/>
      <c r="AB57" s="53"/>
      <c r="AC57" s="53"/>
      <c r="AD57" s="53"/>
      <c r="AE57" s="53"/>
      <c r="AF57" s="53"/>
      <c r="AG57" s="465"/>
      <c r="AH57" s="53"/>
      <c r="AI57" s="53"/>
      <c r="AJ57" s="53"/>
      <c r="AK57" s="53"/>
      <c r="AL57" s="53"/>
      <c r="AM57" s="53"/>
    </row>
    <row r="58" ht="15.75" spans="1:39">
      <c r="A58" s="53"/>
      <c r="B58" s="53"/>
      <c r="C58" s="54"/>
      <c r="D58" s="53"/>
      <c r="E58" s="53"/>
      <c r="F58" s="53"/>
      <c r="G58" s="439"/>
      <c r="H58" s="440"/>
      <c r="I58" s="439"/>
      <c r="J58" s="53"/>
      <c r="K58" s="53"/>
      <c r="L58" s="53"/>
      <c r="M58" s="53"/>
      <c r="N58" s="53"/>
      <c r="O58" s="53"/>
      <c r="P58" s="53"/>
      <c r="Q58" s="53"/>
      <c r="R58" s="53"/>
      <c r="S58" s="53"/>
      <c r="T58" s="53"/>
      <c r="U58" s="53"/>
      <c r="V58" s="53"/>
      <c r="W58" s="53"/>
      <c r="X58" s="53"/>
      <c r="Y58" s="53"/>
      <c r="Z58" s="53"/>
      <c r="AA58" s="53"/>
      <c r="AB58" s="53"/>
      <c r="AC58" s="53"/>
      <c r="AD58" s="53"/>
      <c r="AE58" s="53"/>
      <c r="AF58" s="53"/>
      <c r="AG58" s="465"/>
      <c r="AH58" s="53"/>
      <c r="AI58" s="53"/>
      <c r="AJ58" s="53"/>
      <c r="AK58" s="53"/>
      <c r="AL58" s="53"/>
      <c r="AM58" s="53"/>
    </row>
    <row r="59" ht="15.75" spans="1:39">
      <c r="A59" s="53"/>
      <c r="B59" s="53"/>
      <c r="C59" s="54"/>
      <c r="D59" s="53"/>
      <c r="E59" s="53"/>
      <c r="F59" s="53"/>
      <c r="G59" s="439"/>
      <c r="H59" s="440"/>
      <c r="I59" s="439"/>
      <c r="J59" s="53"/>
      <c r="K59" s="53"/>
      <c r="L59" s="53"/>
      <c r="M59" s="53"/>
      <c r="N59" s="53"/>
      <c r="O59" s="53"/>
      <c r="P59" s="53"/>
      <c r="Q59" s="53"/>
      <c r="R59" s="53"/>
      <c r="S59" s="53"/>
      <c r="T59" s="53"/>
      <c r="U59" s="53"/>
      <c r="V59" s="53"/>
      <c r="W59" s="53"/>
      <c r="X59" s="53"/>
      <c r="Y59" s="53"/>
      <c r="Z59" s="53"/>
      <c r="AA59" s="53"/>
      <c r="AB59" s="53"/>
      <c r="AC59" s="53"/>
      <c r="AD59" s="53"/>
      <c r="AE59" s="53"/>
      <c r="AF59" s="53"/>
      <c r="AG59" s="465"/>
      <c r="AH59" s="53"/>
      <c r="AI59" s="53"/>
      <c r="AJ59" s="53"/>
      <c r="AK59" s="53"/>
      <c r="AL59" s="53"/>
      <c r="AM59" s="53"/>
    </row>
    <row r="60" ht="15.75" spans="1:39">
      <c r="A60" s="53"/>
      <c r="B60" s="53"/>
      <c r="C60" s="54"/>
      <c r="D60" s="53"/>
      <c r="E60" s="53"/>
      <c r="F60" s="53"/>
      <c r="G60" s="439"/>
      <c r="H60" s="440"/>
      <c r="I60" s="439"/>
      <c r="J60" s="53"/>
      <c r="K60" s="53"/>
      <c r="L60" s="53"/>
      <c r="M60" s="53"/>
      <c r="N60" s="53"/>
      <c r="O60" s="53"/>
      <c r="P60" s="53"/>
      <c r="Q60" s="53"/>
      <c r="R60" s="53"/>
      <c r="S60" s="53"/>
      <c r="T60" s="53"/>
      <c r="U60" s="53"/>
      <c r="V60" s="53"/>
      <c r="W60" s="53"/>
      <c r="X60" s="53"/>
      <c r="Y60" s="53"/>
      <c r="Z60" s="53"/>
      <c r="AA60" s="53"/>
      <c r="AB60" s="53"/>
      <c r="AC60" s="53"/>
      <c r="AD60" s="53"/>
      <c r="AE60" s="53"/>
      <c r="AF60" s="53"/>
      <c r="AG60" s="465"/>
      <c r="AH60" s="53"/>
      <c r="AI60" s="53"/>
      <c r="AJ60" s="53"/>
      <c r="AK60" s="53"/>
      <c r="AL60" s="53"/>
      <c r="AM60" s="53"/>
    </row>
    <row r="61" ht="15.75" spans="1:39">
      <c r="A61" s="53"/>
      <c r="B61" s="53"/>
      <c r="C61" s="54"/>
      <c r="D61" s="53"/>
      <c r="E61" s="53"/>
      <c r="F61" s="53"/>
      <c r="G61" s="439"/>
      <c r="H61" s="440"/>
      <c r="I61" s="439"/>
      <c r="J61" s="53"/>
      <c r="K61" s="53"/>
      <c r="L61" s="53"/>
      <c r="M61" s="53"/>
      <c r="N61" s="53"/>
      <c r="O61" s="53"/>
      <c r="P61" s="53"/>
      <c r="Q61" s="53"/>
      <c r="R61" s="53"/>
      <c r="S61" s="53"/>
      <c r="T61" s="53"/>
      <c r="U61" s="53"/>
      <c r="V61" s="53"/>
      <c r="W61" s="53"/>
      <c r="X61" s="53"/>
      <c r="Y61" s="53"/>
      <c r="Z61" s="53"/>
      <c r="AA61" s="53"/>
      <c r="AB61" s="53"/>
      <c r="AC61" s="53"/>
      <c r="AD61" s="53"/>
      <c r="AE61" s="53"/>
      <c r="AF61" s="53"/>
      <c r="AG61" s="465"/>
      <c r="AH61" s="53"/>
      <c r="AI61" s="53"/>
      <c r="AJ61" s="53"/>
      <c r="AK61" s="53"/>
      <c r="AL61" s="53"/>
      <c r="AM61" s="53"/>
    </row>
    <row r="62" ht="15.75" spans="1:39">
      <c r="A62" s="53"/>
      <c r="B62" s="53"/>
      <c r="C62" s="54"/>
      <c r="D62" s="53"/>
      <c r="E62" s="53"/>
      <c r="F62" s="53"/>
      <c r="G62" s="439"/>
      <c r="H62" s="440"/>
      <c r="I62" s="439"/>
      <c r="J62" s="53"/>
      <c r="K62" s="53"/>
      <c r="L62" s="53"/>
      <c r="M62" s="53"/>
      <c r="N62" s="53"/>
      <c r="O62" s="53"/>
      <c r="P62" s="53"/>
      <c r="Q62" s="53"/>
      <c r="R62" s="53"/>
      <c r="S62" s="53"/>
      <c r="T62" s="53"/>
      <c r="U62" s="53"/>
      <c r="V62" s="53"/>
      <c r="W62" s="53"/>
      <c r="X62" s="53"/>
      <c r="Y62" s="53"/>
      <c r="Z62" s="53"/>
      <c r="AA62" s="53"/>
      <c r="AB62" s="53"/>
      <c r="AC62" s="53"/>
      <c r="AD62" s="53"/>
      <c r="AE62" s="53"/>
      <c r="AF62" s="53"/>
      <c r="AG62" s="465"/>
      <c r="AH62" s="53"/>
      <c r="AI62" s="53"/>
      <c r="AJ62" s="53"/>
      <c r="AK62" s="53"/>
      <c r="AL62" s="53"/>
      <c r="AM62" s="53"/>
    </row>
    <row r="63" ht="15.75" spans="1:39">
      <c r="A63" s="53"/>
      <c r="B63" s="53"/>
      <c r="C63" s="54"/>
      <c r="D63" s="53"/>
      <c r="E63" s="53"/>
      <c r="F63" s="53"/>
      <c r="G63" s="439"/>
      <c r="H63" s="440"/>
      <c r="I63" s="439"/>
      <c r="J63" s="53"/>
      <c r="K63" s="53"/>
      <c r="L63" s="53"/>
      <c r="M63" s="53"/>
      <c r="N63" s="53"/>
      <c r="O63" s="53"/>
      <c r="P63" s="53"/>
      <c r="Q63" s="53"/>
      <c r="R63" s="53"/>
      <c r="S63" s="53"/>
      <c r="T63" s="53"/>
      <c r="U63" s="53"/>
      <c r="V63" s="53"/>
      <c r="W63" s="53"/>
      <c r="X63" s="53"/>
      <c r="Y63" s="53"/>
      <c r="Z63" s="53"/>
      <c r="AA63" s="53"/>
      <c r="AB63" s="53"/>
      <c r="AC63" s="53"/>
      <c r="AD63" s="53"/>
      <c r="AE63" s="53"/>
      <c r="AF63" s="53"/>
      <c r="AG63" s="465"/>
      <c r="AH63" s="53"/>
      <c r="AI63" s="53"/>
      <c r="AJ63" s="53"/>
      <c r="AK63" s="53"/>
      <c r="AL63" s="53"/>
      <c r="AM63" s="53"/>
    </row>
    <row r="64" ht="15.75" spans="1:39">
      <c r="A64" s="53"/>
      <c r="B64" s="53"/>
      <c r="C64" s="54"/>
      <c r="D64" s="53"/>
      <c r="E64" s="53"/>
      <c r="F64" s="53"/>
      <c r="G64" s="439"/>
      <c r="H64" s="440"/>
      <c r="I64" s="439"/>
      <c r="J64" s="53"/>
      <c r="K64" s="53"/>
      <c r="L64" s="53"/>
      <c r="M64" s="53"/>
      <c r="N64" s="53"/>
      <c r="O64" s="53"/>
      <c r="P64" s="53"/>
      <c r="Q64" s="53"/>
      <c r="R64" s="53"/>
      <c r="S64" s="53"/>
      <c r="T64" s="53"/>
      <c r="U64" s="53"/>
      <c r="V64" s="53"/>
      <c r="W64" s="53"/>
      <c r="X64" s="53"/>
      <c r="Y64" s="53"/>
      <c r="Z64" s="53"/>
      <c r="AA64" s="53"/>
      <c r="AB64" s="53"/>
      <c r="AC64" s="53"/>
      <c r="AD64" s="53"/>
      <c r="AE64" s="53"/>
      <c r="AF64" s="53"/>
      <c r="AG64" s="465"/>
      <c r="AH64" s="53"/>
      <c r="AI64" s="53"/>
      <c r="AJ64" s="53"/>
      <c r="AK64" s="53"/>
      <c r="AL64" s="53"/>
      <c r="AM64" s="53"/>
    </row>
    <row r="65" ht="15.75" spans="1:39">
      <c r="A65" s="53"/>
      <c r="B65" s="53"/>
      <c r="C65" s="54"/>
      <c r="D65" s="53"/>
      <c r="E65" s="53"/>
      <c r="F65" s="53"/>
      <c r="G65" s="439"/>
      <c r="H65" s="440"/>
      <c r="I65" s="439"/>
      <c r="J65" s="53"/>
      <c r="K65" s="53"/>
      <c r="L65" s="53"/>
      <c r="M65" s="53"/>
      <c r="N65" s="53"/>
      <c r="O65" s="53"/>
      <c r="P65" s="53"/>
      <c r="Q65" s="53"/>
      <c r="R65" s="53"/>
      <c r="S65" s="53"/>
      <c r="T65" s="53"/>
      <c r="U65" s="53"/>
      <c r="V65" s="53"/>
      <c r="W65" s="53"/>
      <c r="X65" s="53"/>
      <c r="Y65" s="53"/>
      <c r="Z65" s="53"/>
      <c r="AA65" s="53"/>
      <c r="AB65" s="53"/>
      <c r="AC65" s="53"/>
      <c r="AD65" s="53"/>
      <c r="AE65" s="53"/>
      <c r="AF65" s="53"/>
      <c r="AG65" s="465"/>
      <c r="AH65" s="53"/>
      <c r="AI65" s="53"/>
      <c r="AJ65" s="53"/>
      <c r="AK65" s="53"/>
      <c r="AL65" s="53"/>
      <c r="AM65" s="53"/>
    </row>
    <row r="66" ht="15.75" spans="1:39">
      <c r="A66" s="53"/>
      <c r="B66" s="53"/>
      <c r="C66" s="54"/>
      <c r="D66" s="53"/>
      <c r="E66" s="53"/>
      <c r="F66" s="53"/>
      <c r="G66" s="439"/>
      <c r="H66" s="440"/>
      <c r="I66" s="439"/>
      <c r="J66" s="53"/>
      <c r="K66" s="53"/>
      <c r="L66" s="53"/>
      <c r="M66" s="53"/>
      <c r="N66" s="53"/>
      <c r="O66" s="53"/>
      <c r="P66" s="53"/>
      <c r="Q66" s="53"/>
      <c r="R66" s="53"/>
      <c r="S66" s="53"/>
      <c r="T66" s="53"/>
      <c r="U66" s="53"/>
      <c r="V66" s="53"/>
      <c r="W66" s="53"/>
      <c r="X66" s="53"/>
      <c r="Y66" s="53"/>
      <c r="Z66" s="53"/>
      <c r="AA66" s="53"/>
      <c r="AB66" s="53"/>
      <c r="AC66" s="53"/>
      <c r="AD66" s="53"/>
      <c r="AE66" s="53"/>
      <c r="AF66" s="53"/>
      <c r="AG66" s="465"/>
      <c r="AH66" s="53"/>
      <c r="AI66" s="53"/>
      <c r="AJ66" s="53"/>
      <c r="AK66" s="53"/>
      <c r="AL66" s="53"/>
      <c r="AM66" s="53"/>
    </row>
    <row r="67" ht="15.75" spans="1:39">
      <c r="A67" s="53"/>
      <c r="B67" s="53"/>
      <c r="C67" s="54"/>
      <c r="D67" s="53"/>
      <c r="E67" s="53"/>
      <c r="F67" s="53"/>
      <c r="G67" s="439"/>
      <c r="H67" s="440"/>
      <c r="I67" s="439"/>
      <c r="J67" s="53"/>
      <c r="K67" s="53"/>
      <c r="L67" s="53"/>
      <c r="M67" s="53"/>
      <c r="N67" s="53"/>
      <c r="O67" s="53"/>
      <c r="P67" s="53"/>
      <c r="Q67" s="53"/>
      <c r="R67" s="53"/>
      <c r="S67" s="53"/>
      <c r="T67" s="53"/>
      <c r="U67" s="53"/>
      <c r="V67" s="53"/>
      <c r="W67" s="53"/>
      <c r="X67" s="53"/>
      <c r="Y67" s="53"/>
      <c r="Z67" s="53"/>
      <c r="AA67" s="53"/>
      <c r="AB67" s="53"/>
      <c r="AC67" s="53"/>
      <c r="AD67" s="53"/>
      <c r="AE67" s="53"/>
      <c r="AF67" s="53"/>
      <c r="AG67" s="465"/>
      <c r="AH67" s="53"/>
      <c r="AI67" s="53"/>
      <c r="AJ67" s="53"/>
      <c r="AK67" s="53"/>
      <c r="AL67" s="53"/>
      <c r="AM67" s="53"/>
    </row>
    <row r="68" ht="15.75" spans="1:39">
      <c r="A68" s="53"/>
      <c r="B68" s="53"/>
      <c r="C68" s="54"/>
      <c r="D68" s="53"/>
      <c r="E68" s="53"/>
      <c r="F68" s="53"/>
      <c r="G68" s="439"/>
      <c r="H68" s="440"/>
      <c r="I68" s="439"/>
      <c r="J68" s="53"/>
      <c r="K68" s="53"/>
      <c r="L68" s="53"/>
      <c r="M68" s="53"/>
      <c r="N68" s="53"/>
      <c r="O68" s="53"/>
      <c r="P68" s="53"/>
      <c r="Q68" s="53"/>
      <c r="R68" s="53"/>
      <c r="S68" s="53"/>
      <c r="T68" s="53"/>
      <c r="U68" s="53"/>
      <c r="V68" s="53"/>
      <c r="W68" s="53"/>
      <c r="X68" s="53"/>
      <c r="Y68" s="53"/>
      <c r="Z68" s="53"/>
      <c r="AA68" s="53"/>
      <c r="AB68" s="53"/>
      <c r="AC68" s="53"/>
      <c r="AD68" s="53"/>
      <c r="AE68" s="53"/>
      <c r="AF68" s="53"/>
      <c r="AG68" s="465"/>
      <c r="AH68" s="53"/>
      <c r="AI68" s="53"/>
      <c r="AJ68" s="53"/>
      <c r="AK68" s="53"/>
      <c r="AL68" s="53"/>
      <c r="AM68" s="53"/>
    </row>
    <row r="69" ht="15.75" spans="1:39">
      <c r="A69" s="53"/>
      <c r="B69" s="53"/>
      <c r="C69" s="54"/>
      <c r="D69" s="53"/>
      <c r="E69" s="53"/>
      <c r="F69" s="53"/>
      <c r="G69" s="439"/>
      <c r="H69" s="440"/>
      <c r="I69" s="439"/>
      <c r="J69" s="53"/>
      <c r="K69" s="53"/>
      <c r="L69" s="53"/>
      <c r="M69" s="53"/>
      <c r="N69" s="53"/>
      <c r="O69" s="53"/>
      <c r="P69" s="53"/>
      <c r="Q69" s="53"/>
      <c r="R69" s="53"/>
      <c r="S69" s="53"/>
      <c r="T69" s="53"/>
      <c r="U69" s="53"/>
      <c r="V69" s="53"/>
      <c r="W69" s="53"/>
      <c r="X69" s="53"/>
      <c r="Y69" s="53"/>
      <c r="Z69" s="53"/>
      <c r="AA69" s="53"/>
      <c r="AB69" s="53"/>
      <c r="AC69" s="53"/>
      <c r="AD69" s="53"/>
      <c r="AE69" s="53"/>
      <c r="AF69" s="53"/>
      <c r="AG69" s="465"/>
      <c r="AH69" s="53"/>
      <c r="AI69" s="53"/>
      <c r="AJ69" s="53"/>
      <c r="AK69" s="53"/>
      <c r="AL69" s="53"/>
      <c r="AM69" s="53"/>
    </row>
    <row r="70" ht="15.75" spans="1:39">
      <c r="A70" s="53"/>
      <c r="B70" s="53"/>
      <c r="C70" s="54"/>
      <c r="D70" s="53"/>
      <c r="E70" s="53"/>
      <c r="F70" s="53"/>
      <c r="G70" s="439"/>
      <c r="H70" s="440"/>
      <c r="I70" s="439"/>
      <c r="J70" s="53"/>
      <c r="K70" s="53"/>
      <c r="L70" s="53"/>
      <c r="M70" s="53"/>
      <c r="N70" s="53"/>
      <c r="O70" s="53"/>
      <c r="P70" s="53"/>
      <c r="Q70" s="53"/>
      <c r="R70" s="53"/>
      <c r="S70" s="53"/>
      <c r="T70" s="53"/>
      <c r="U70" s="53"/>
      <c r="V70" s="53"/>
      <c r="W70" s="53"/>
      <c r="X70" s="53"/>
      <c r="Y70" s="53"/>
      <c r="Z70" s="53"/>
      <c r="AA70" s="53"/>
      <c r="AB70" s="53"/>
      <c r="AC70" s="53"/>
      <c r="AD70" s="53"/>
      <c r="AE70" s="53"/>
      <c r="AF70" s="53"/>
      <c r="AG70" s="465"/>
      <c r="AH70" s="53"/>
      <c r="AI70" s="53"/>
      <c r="AJ70" s="53"/>
      <c r="AK70" s="53"/>
      <c r="AL70" s="53"/>
      <c r="AM70" s="53"/>
    </row>
    <row r="71" ht="15.75" spans="1:39">
      <c r="A71" s="53"/>
      <c r="B71" s="53"/>
      <c r="C71" s="54"/>
      <c r="D71" s="53"/>
      <c r="E71" s="53"/>
      <c r="F71" s="53"/>
      <c r="G71" s="439"/>
      <c r="H71" s="440"/>
      <c r="I71" s="439"/>
      <c r="J71" s="53"/>
      <c r="K71" s="53"/>
      <c r="L71" s="53"/>
      <c r="M71" s="53"/>
      <c r="N71" s="53"/>
      <c r="O71" s="53"/>
      <c r="P71" s="53"/>
      <c r="Q71" s="53"/>
      <c r="R71" s="53"/>
      <c r="S71" s="53"/>
      <c r="T71" s="53"/>
      <c r="U71" s="53"/>
      <c r="V71" s="53"/>
      <c r="W71" s="53"/>
      <c r="X71" s="53"/>
      <c r="Y71" s="53"/>
      <c r="Z71" s="53"/>
      <c r="AA71" s="53"/>
      <c r="AB71" s="53"/>
      <c r="AC71" s="53"/>
      <c r="AD71" s="53"/>
      <c r="AE71" s="53"/>
      <c r="AF71" s="53"/>
      <c r="AG71" s="465"/>
      <c r="AH71" s="53"/>
      <c r="AI71" s="53"/>
      <c r="AJ71" s="53"/>
      <c r="AK71" s="53"/>
      <c r="AL71" s="53"/>
      <c r="AM71" s="53"/>
    </row>
    <row r="72" ht="15.75" spans="1:39">
      <c r="A72" s="53"/>
      <c r="B72" s="53"/>
      <c r="C72" s="54"/>
      <c r="D72" s="53"/>
      <c r="E72" s="53"/>
      <c r="F72" s="53"/>
      <c r="G72" s="439"/>
      <c r="H72" s="440"/>
      <c r="I72" s="439"/>
      <c r="J72" s="53"/>
      <c r="K72" s="53"/>
      <c r="L72" s="53"/>
      <c r="M72" s="53"/>
      <c r="N72" s="53"/>
      <c r="O72" s="53"/>
      <c r="P72" s="53"/>
      <c r="Q72" s="53"/>
      <c r="R72" s="53"/>
      <c r="S72" s="53"/>
      <c r="T72" s="53"/>
      <c r="U72" s="53"/>
      <c r="V72" s="53"/>
      <c r="W72" s="53"/>
      <c r="X72" s="53"/>
      <c r="Y72" s="53"/>
      <c r="Z72" s="53"/>
      <c r="AA72" s="53"/>
      <c r="AB72" s="53"/>
      <c r="AC72" s="53"/>
      <c r="AD72" s="53"/>
      <c r="AE72" s="53"/>
      <c r="AF72" s="53"/>
      <c r="AG72" s="465"/>
      <c r="AH72" s="53"/>
      <c r="AI72" s="53"/>
      <c r="AJ72" s="53"/>
      <c r="AK72" s="53"/>
      <c r="AL72" s="53"/>
      <c r="AM72" s="53"/>
    </row>
    <row r="73" ht="15.75" spans="1:39">
      <c r="A73" s="53"/>
      <c r="B73" s="53"/>
      <c r="C73" s="54"/>
      <c r="D73" s="53"/>
      <c r="E73" s="53"/>
      <c r="F73" s="53"/>
      <c r="G73" s="439"/>
      <c r="H73" s="440"/>
      <c r="I73" s="439"/>
      <c r="J73" s="53"/>
      <c r="K73" s="53"/>
      <c r="L73" s="53"/>
      <c r="M73" s="53"/>
      <c r="N73" s="53"/>
      <c r="O73" s="53"/>
      <c r="P73" s="53"/>
      <c r="Q73" s="53"/>
      <c r="R73" s="53"/>
      <c r="S73" s="53"/>
      <c r="T73" s="53"/>
      <c r="U73" s="53"/>
      <c r="V73" s="53"/>
      <c r="W73" s="53"/>
      <c r="X73" s="53"/>
      <c r="Y73" s="53"/>
      <c r="Z73" s="53"/>
      <c r="AA73" s="53"/>
      <c r="AB73" s="53"/>
      <c r="AC73" s="53"/>
      <c r="AD73" s="53"/>
      <c r="AE73" s="53"/>
      <c r="AF73" s="53"/>
      <c r="AG73" s="465"/>
      <c r="AH73" s="53"/>
      <c r="AI73" s="53"/>
      <c r="AJ73" s="53"/>
      <c r="AK73" s="53"/>
      <c r="AL73" s="53"/>
      <c r="AM73" s="53"/>
    </row>
    <row r="74" ht="15.75" spans="1:39">
      <c r="A74" s="53"/>
      <c r="B74" s="53"/>
      <c r="C74" s="54"/>
      <c r="D74" s="53"/>
      <c r="E74" s="53"/>
      <c r="F74" s="53"/>
      <c r="G74" s="439"/>
      <c r="H74" s="440"/>
      <c r="I74" s="439"/>
      <c r="J74" s="53"/>
      <c r="K74" s="53"/>
      <c r="L74" s="53"/>
      <c r="M74" s="53"/>
      <c r="N74" s="53"/>
      <c r="O74" s="53"/>
      <c r="P74" s="53"/>
      <c r="Q74" s="53"/>
      <c r="R74" s="53"/>
      <c r="S74" s="53"/>
      <c r="T74" s="53"/>
      <c r="U74" s="53"/>
      <c r="V74" s="53"/>
      <c r="W74" s="53"/>
      <c r="X74" s="53"/>
      <c r="Y74" s="53"/>
      <c r="Z74" s="53"/>
      <c r="AA74" s="53"/>
      <c r="AB74" s="53"/>
      <c r="AC74" s="53"/>
      <c r="AD74" s="53"/>
      <c r="AE74" s="53"/>
      <c r="AF74" s="53"/>
      <c r="AG74" s="465"/>
      <c r="AH74" s="53"/>
      <c r="AI74" s="53"/>
      <c r="AJ74" s="53"/>
      <c r="AK74" s="53"/>
      <c r="AL74" s="53"/>
      <c r="AM74" s="53"/>
    </row>
    <row r="75" ht="15.75" spans="1:39">
      <c r="A75" s="53"/>
      <c r="B75" s="53"/>
      <c r="C75" s="54"/>
      <c r="D75" s="53"/>
      <c r="E75" s="53"/>
      <c r="F75" s="53"/>
      <c r="G75" s="439"/>
      <c r="H75" s="440"/>
      <c r="I75" s="439"/>
      <c r="J75" s="53"/>
      <c r="K75" s="53"/>
      <c r="L75" s="53"/>
      <c r="M75" s="53"/>
      <c r="N75" s="53"/>
      <c r="O75" s="53"/>
      <c r="P75" s="53"/>
      <c r="Q75" s="53"/>
      <c r="R75" s="53"/>
      <c r="S75" s="53"/>
      <c r="T75" s="53"/>
      <c r="U75" s="53"/>
      <c r="V75" s="53"/>
      <c r="W75" s="53"/>
      <c r="X75" s="53"/>
      <c r="Y75" s="53"/>
      <c r="Z75" s="53"/>
      <c r="AA75" s="53"/>
      <c r="AB75" s="53"/>
      <c r="AC75" s="53"/>
      <c r="AD75" s="53"/>
      <c r="AE75" s="53"/>
      <c r="AF75" s="53"/>
      <c r="AG75" s="465"/>
      <c r="AH75" s="53"/>
      <c r="AI75" s="53"/>
      <c r="AJ75" s="53"/>
      <c r="AK75" s="53"/>
      <c r="AL75" s="53"/>
      <c r="AM75" s="53"/>
    </row>
    <row r="76" ht="15.75" spans="1:39">
      <c r="A76" s="53"/>
      <c r="B76" s="53"/>
      <c r="C76" s="54"/>
      <c r="D76" s="53"/>
      <c r="E76" s="53"/>
      <c r="F76" s="53"/>
      <c r="G76" s="439"/>
      <c r="H76" s="440"/>
      <c r="I76" s="439"/>
      <c r="J76" s="53"/>
      <c r="K76" s="53"/>
      <c r="L76" s="53"/>
      <c r="M76" s="53"/>
      <c r="N76" s="53"/>
      <c r="O76" s="53"/>
      <c r="P76" s="53"/>
      <c r="Q76" s="53"/>
      <c r="R76" s="53"/>
      <c r="S76" s="53"/>
      <c r="T76" s="53"/>
      <c r="U76" s="53"/>
      <c r="V76" s="53"/>
      <c r="W76" s="53"/>
      <c r="X76" s="53"/>
      <c r="Y76" s="53"/>
      <c r="Z76" s="53"/>
      <c r="AA76" s="53"/>
      <c r="AB76" s="53"/>
      <c r="AC76" s="53"/>
      <c r="AD76" s="53"/>
      <c r="AE76" s="53"/>
      <c r="AF76" s="53"/>
      <c r="AG76" s="465"/>
      <c r="AH76" s="53"/>
      <c r="AI76" s="53"/>
      <c r="AJ76" s="53"/>
      <c r="AK76" s="53"/>
      <c r="AL76" s="53"/>
      <c r="AM76" s="53"/>
    </row>
    <row r="77" ht="15.75" spans="1:39">
      <c r="A77" s="53"/>
      <c r="B77" s="53"/>
      <c r="C77" s="54"/>
      <c r="D77" s="53"/>
      <c r="E77" s="53"/>
      <c r="F77" s="53"/>
      <c r="G77" s="439"/>
      <c r="H77" s="440"/>
      <c r="I77" s="439"/>
      <c r="J77" s="53"/>
      <c r="K77" s="53"/>
      <c r="L77" s="53"/>
      <c r="M77" s="53"/>
      <c r="N77" s="53"/>
      <c r="O77" s="53"/>
      <c r="P77" s="53"/>
      <c r="Q77" s="53"/>
      <c r="R77" s="53"/>
      <c r="S77" s="53"/>
      <c r="T77" s="53"/>
      <c r="U77" s="53"/>
      <c r="V77" s="53"/>
      <c r="W77" s="53"/>
      <c r="X77" s="53"/>
      <c r="Y77" s="53"/>
      <c r="Z77" s="53"/>
      <c r="AA77" s="53"/>
      <c r="AB77" s="53"/>
      <c r="AC77" s="53"/>
      <c r="AD77" s="53"/>
      <c r="AE77" s="53"/>
      <c r="AF77" s="53"/>
      <c r="AG77" s="465"/>
      <c r="AH77" s="53"/>
      <c r="AI77" s="53"/>
      <c r="AJ77" s="53"/>
      <c r="AK77" s="53"/>
      <c r="AL77" s="53"/>
      <c r="AM77" s="53"/>
    </row>
    <row r="78" ht="15.75" spans="1:39">
      <c r="A78" s="53"/>
      <c r="B78" s="53"/>
      <c r="C78" s="54"/>
      <c r="D78" s="53"/>
      <c r="E78" s="53"/>
      <c r="F78" s="53"/>
      <c r="G78" s="439"/>
      <c r="H78" s="440"/>
      <c r="I78" s="439"/>
      <c r="J78" s="53"/>
      <c r="K78" s="53"/>
      <c r="L78" s="53"/>
      <c r="M78" s="53"/>
      <c r="N78" s="53"/>
      <c r="O78" s="53"/>
      <c r="P78" s="53"/>
      <c r="Q78" s="53"/>
      <c r="R78" s="53"/>
      <c r="S78" s="53"/>
      <c r="T78" s="53"/>
      <c r="U78" s="53"/>
      <c r="V78" s="53"/>
      <c r="W78" s="53"/>
      <c r="X78" s="53"/>
      <c r="Y78" s="53"/>
      <c r="Z78" s="53"/>
      <c r="AA78" s="53"/>
      <c r="AB78" s="53"/>
      <c r="AC78" s="53"/>
      <c r="AD78" s="53"/>
      <c r="AE78" s="53"/>
      <c r="AF78" s="53"/>
      <c r="AG78" s="465"/>
      <c r="AH78" s="53"/>
      <c r="AI78" s="53"/>
      <c r="AJ78" s="53"/>
      <c r="AK78" s="53"/>
      <c r="AL78" s="53"/>
      <c r="AM78" s="53"/>
    </row>
    <row r="79" ht="15.75" spans="1:39">
      <c r="A79" s="53"/>
      <c r="B79" s="53"/>
      <c r="C79" s="54"/>
      <c r="D79" s="53"/>
      <c r="E79" s="53"/>
      <c r="F79" s="53"/>
      <c r="G79" s="439"/>
      <c r="H79" s="440"/>
      <c r="I79" s="439"/>
      <c r="J79" s="53"/>
      <c r="K79" s="53"/>
      <c r="L79" s="53"/>
      <c r="M79" s="53"/>
      <c r="N79" s="53"/>
      <c r="O79" s="53"/>
      <c r="P79" s="53"/>
      <c r="Q79" s="53"/>
      <c r="R79" s="53"/>
      <c r="S79" s="53"/>
      <c r="T79" s="53"/>
      <c r="U79" s="53"/>
      <c r="V79" s="53"/>
      <c r="W79" s="53"/>
      <c r="X79" s="53"/>
      <c r="Y79" s="53"/>
      <c r="Z79" s="53"/>
      <c r="AA79" s="53"/>
      <c r="AB79" s="53"/>
      <c r="AC79" s="53"/>
      <c r="AD79" s="53"/>
      <c r="AE79" s="53"/>
      <c r="AF79" s="53"/>
      <c r="AG79" s="465"/>
      <c r="AH79" s="53"/>
      <c r="AI79" s="53"/>
      <c r="AJ79" s="53"/>
      <c r="AK79" s="53"/>
      <c r="AL79" s="53"/>
      <c r="AM79" s="53"/>
    </row>
    <row r="80" ht="15.75" spans="1:39">
      <c r="A80" s="53"/>
      <c r="B80" s="53"/>
      <c r="C80" s="54"/>
      <c r="D80" s="53"/>
      <c r="E80" s="53"/>
      <c r="F80" s="53"/>
      <c r="G80" s="439"/>
      <c r="H80" s="440"/>
      <c r="I80" s="439"/>
      <c r="J80" s="53"/>
      <c r="K80" s="53"/>
      <c r="L80" s="53"/>
      <c r="M80" s="53"/>
      <c r="N80" s="53"/>
      <c r="O80" s="53"/>
      <c r="P80" s="53"/>
      <c r="Q80" s="53"/>
      <c r="R80" s="53"/>
      <c r="S80" s="53"/>
      <c r="T80" s="53"/>
      <c r="U80" s="53"/>
      <c r="V80" s="53"/>
      <c r="W80" s="53"/>
      <c r="X80" s="53"/>
      <c r="Y80" s="53"/>
      <c r="Z80" s="53"/>
      <c r="AA80" s="53"/>
      <c r="AB80" s="53"/>
      <c r="AC80" s="53"/>
      <c r="AD80" s="53"/>
      <c r="AE80" s="53"/>
      <c r="AF80" s="53"/>
      <c r="AG80" s="465"/>
      <c r="AH80" s="53"/>
      <c r="AI80" s="53"/>
      <c r="AJ80" s="53"/>
      <c r="AK80" s="53"/>
      <c r="AL80" s="53"/>
      <c r="AM80" s="53"/>
    </row>
    <row r="81" ht="15.75" spans="1:39">
      <c r="A81" s="53"/>
      <c r="B81" s="53"/>
      <c r="C81" s="54"/>
      <c r="D81" s="53"/>
      <c r="E81" s="53"/>
      <c r="F81" s="53"/>
      <c r="G81" s="439"/>
      <c r="H81" s="440"/>
      <c r="I81" s="439"/>
      <c r="J81" s="53"/>
      <c r="K81" s="53"/>
      <c r="L81" s="53"/>
      <c r="M81" s="53"/>
      <c r="N81" s="53"/>
      <c r="O81" s="53"/>
      <c r="P81" s="53"/>
      <c r="Q81" s="53"/>
      <c r="R81" s="53"/>
      <c r="S81" s="53"/>
      <c r="T81" s="53"/>
      <c r="U81" s="53"/>
      <c r="V81" s="53"/>
      <c r="W81" s="53"/>
      <c r="X81" s="53"/>
      <c r="Y81" s="53"/>
      <c r="Z81" s="53"/>
      <c r="AA81" s="53"/>
      <c r="AB81" s="53"/>
      <c r="AC81" s="53"/>
      <c r="AD81" s="53"/>
      <c r="AE81" s="53"/>
      <c r="AF81" s="53"/>
      <c r="AG81" s="465"/>
      <c r="AH81" s="53"/>
      <c r="AI81" s="53"/>
      <c r="AJ81" s="53"/>
      <c r="AK81" s="53"/>
      <c r="AL81" s="53"/>
      <c r="AM81" s="53"/>
    </row>
    <row r="82" ht="15.75" spans="1:39">
      <c r="A82" s="53"/>
      <c r="B82" s="53"/>
      <c r="C82" s="54"/>
      <c r="D82" s="53"/>
      <c r="E82" s="53"/>
      <c r="F82" s="53"/>
      <c r="G82" s="439"/>
      <c r="H82" s="440"/>
      <c r="I82" s="439"/>
      <c r="J82" s="53"/>
      <c r="K82" s="53"/>
      <c r="L82" s="53"/>
      <c r="M82" s="53"/>
      <c r="N82" s="53"/>
      <c r="O82" s="53"/>
      <c r="P82" s="53"/>
      <c r="Q82" s="53"/>
      <c r="R82" s="53"/>
      <c r="S82" s="53"/>
      <c r="T82" s="53"/>
      <c r="U82" s="53"/>
      <c r="V82" s="53"/>
      <c r="W82" s="53"/>
      <c r="X82" s="53"/>
      <c r="Y82" s="53"/>
      <c r="Z82" s="53"/>
      <c r="AA82" s="53"/>
      <c r="AB82" s="53"/>
      <c r="AC82" s="53"/>
      <c r="AD82" s="53"/>
      <c r="AE82" s="53"/>
      <c r="AF82" s="53"/>
      <c r="AG82" s="465"/>
      <c r="AH82" s="53"/>
      <c r="AI82" s="53"/>
      <c r="AJ82" s="53"/>
      <c r="AK82" s="53"/>
      <c r="AL82" s="53"/>
      <c r="AM82" s="53"/>
    </row>
    <row r="83" ht="15.75" spans="1:39">
      <c r="A83" s="53"/>
      <c r="B83" s="53"/>
      <c r="C83" s="54"/>
      <c r="D83" s="53"/>
      <c r="E83" s="53"/>
      <c r="F83" s="53"/>
      <c r="G83" s="439"/>
      <c r="H83" s="440"/>
      <c r="I83" s="439"/>
      <c r="J83" s="53"/>
      <c r="K83" s="53"/>
      <c r="L83" s="53"/>
      <c r="M83" s="53"/>
      <c r="N83" s="53"/>
      <c r="O83" s="53"/>
      <c r="P83" s="53"/>
      <c r="Q83" s="53"/>
      <c r="R83" s="53"/>
      <c r="S83" s="53"/>
      <c r="T83" s="53"/>
      <c r="U83" s="53"/>
      <c r="V83" s="53"/>
      <c r="W83" s="53"/>
      <c r="X83" s="53"/>
      <c r="Y83" s="53"/>
      <c r="Z83" s="53"/>
      <c r="AA83" s="53"/>
      <c r="AB83" s="53"/>
      <c r="AC83" s="53"/>
      <c r="AD83" s="53"/>
      <c r="AE83" s="53"/>
      <c r="AF83" s="53"/>
      <c r="AG83" s="465"/>
      <c r="AH83" s="53"/>
      <c r="AI83" s="53"/>
      <c r="AJ83" s="53"/>
      <c r="AK83" s="53"/>
      <c r="AL83" s="53"/>
      <c r="AM83" s="53"/>
    </row>
    <row r="84" ht="15.75" spans="1:39">
      <c r="A84" s="53"/>
      <c r="B84" s="53"/>
      <c r="C84" s="54"/>
      <c r="D84" s="53"/>
      <c r="E84" s="53"/>
      <c r="F84" s="53"/>
      <c r="G84" s="439"/>
      <c r="H84" s="440"/>
      <c r="I84" s="439"/>
      <c r="J84" s="53"/>
      <c r="K84" s="53"/>
      <c r="L84" s="53"/>
      <c r="M84" s="53"/>
      <c r="N84" s="53"/>
      <c r="O84" s="53"/>
      <c r="P84" s="53"/>
      <c r="Q84" s="53"/>
      <c r="R84" s="53"/>
      <c r="S84" s="53"/>
      <c r="T84" s="53"/>
      <c r="U84" s="53"/>
      <c r="V84" s="53"/>
      <c r="W84" s="53"/>
      <c r="X84" s="53"/>
      <c r="Y84" s="53"/>
      <c r="Z84" s="53"/>
      <c r="AA84" s="53"/>
      <c r="AB84" s="53"/>
      <c r="AC84" s="53"/>
      <c r="AD84" s="53"/>
      <c r="AE84" s="53"/>
      <c r="AF84" s="53"/>
      <c r="AG84" s="465"/>
      <c r="AH84" s="53"/>
      <c r="AI84" s="53"/>
      <c r="AJ84" s="53"/>
      <c r="AK84" s="53"/>
      <c r="AL84" s="53"/>
      <c r="AM84" s="53"/>
    </row>
    <row r="85" ht="15.75" spans="1:39">
      <c r="A85" s="53"/>
      <c r="B85" s="53"/>
      <c r="C85" s="54"/>
      <c r="D85" s="53"/>
      <c r="E85" s="53"/>
      <c r="F85" s="53"/>
      <c r="G85" s="439"/>
      <c r="H85" s="440"/>
      <c r="I85" s="439"/>
      <c r="J85" s="53"/>
      <c r="K85" s="53"/>
      <c r="L85" s="53"/>
      <c r="M85" s="53"/>
      <c r="N85" s="53"/>
      <c r="O85" s="53"/>
      <c r="P85" s="53"/>
      <c r="Q85" s="53"/>
      <c r="R85" s="53"/>
      <c r="S85" s="53"/>
      <c r="T85" s="53"/>
      <c r="U85" s="53"/>
      <c r="V85" s="53"/>
      <c r="W85" s="53"/>
      <c r="X85" s="53"/>
      <c r="Y85" s="53"/>
      <c r="Z85" s="53"/>
      <c r="AA85" s="53"/>
      <c r="AB85" s="53"/>
      <c r="AC85" s="53"/>
      <c r="AD85" s="53"/>
      <c r="AE85" s="53"/>
      <c r="AF85" s="53"/>
      <c r="AG85" s="465"/>
      <c r="AH85" s="53"/>
      <c r="AI85" s="53"/>
      <c r="AJ85" s="53"/>
      <c r="AK85" s="53"/>
      <c r="AL85" s="53"/>
      <c r="AM85" s="53"/>
    </row>
    <row r="86" ht="15.75" spans="1:39">
      <c r="A86" s="53"/>
      <c r="B86" s="53"/>
      <c r="C86" s="54"/>
      <c r="D86" s="53"/>
      <c r="E86" s="53"/>
      <c r="F86" s="53"/>
      <c r="G86" s="439"/>
      <c r="H86" s="440"/>
      <c r="I86" s="439"/>
      <c r="J86" s="53"/>
      <c r="K86" s="53"/>
      <c r="L86" s="53"/>
      <c r="M86" s="53"/>
      <c r="N86" s="53"/>
      <c r="O86" s="53"/>
      <c r="P86" s="53"/>
      <c r="Q86" s="53"/>
      <c r="R86" s="53"/>
      <c r="S86" s="53"/>
      <c r="T86" s="53"/>
      <c r="U86" s="53"/>
      <c r="V86" s="53"/>
      <c r="W86" s="53"/>
      <c r="X86" s="53"/>
      <c r="Y86" s="53"/>
      <c r="Z86" s="53"/>
      <c r="AA86" s="53"/>
      <c r="AB86" s="53"/>
      <c r="AC86" s="53"/>
      <c r="AD86" s="53"/>
      <c r="AE86" s="53"/>
      <c r="AF86" s="53"/>
      <c r="AG86" s="465"/>
      <c r="AH86" s="53"/>
      <c r="AI86" s="53"/>
      <c r="AJ86" s="53"/>
      <c r="AK86" s="53"/>
      <c r="AL86" s="53"/>
      <c r="AM86" s="53"/>
    </row>
    <row r="87" ht="15.75" spans="1:39">
      <c r="A87" s="53"/>
      <c r="B87" s="53"/>
      <c r="C87" s="54"/>
      <c r="D87" s="53"/>
      <c r="E87" s="53"/>
      <c r="F87" s="53"/>
      <c r="G87" s="439"/>
      <c r="H87" s="440"/>
      <c r="I87" s="439"/>
      <c r="J87" s="53"/>
      <c r="K87" s="53"/>
      <c r="L87" s="53"/>
      <c r="M87" s="53"/>
      <c r="N87" s="53"/>
      <c r="O87" s="53"/>
      <c r="P87" s="53"/>
      <c r="Q87" s="53"/>
      <c r="R87" s="53"/>
      <c r="S87" s="53"/>
      <c r="T87" s="53"/>
      <c r="U87" s="53"/>
      <c r="V87" s="53"/>
      <c r="W87" s="53"/>
      <c r="X87" s="53"/>
      <c r="Y87" s="53"/>
      <c r="Z87" s="53"/>
      <c r="AA87" s="53"/>
      <c r="AB87" s="53"/>
      <c r="AC87" s="53"/>
      <c r="AD87" s="53"/>
      <c r="AE87" s="53"/>
      <c r="AF87" s="53"/>
      <c r="AG87" s="465"/>
      <c r="AH87" s="53"/>
      <c r="AI87" s="53"/>
      <c r="AJ87" s="53"/>
      <c r="AK87" s="53"/>
      <c r="AL87" s="53"/>
      <c r="AM87" s="53"/>
    </row>
    <row r="88" ht="15.75" spans="1:39">
      <c r="A88" s="53"/>
      <c r="B88" s="53"/>
      <c r="C88" s="54"/>
      <c r="D88" s="53"/>
      <c r="E88" s="53"/>
      <c r="F88" s="53"/>
      <c r="G88" s="439"/>
      <c r="H88" s="440"/>
      <c r="I88" s="439"/>
      <c r="J88" s="53"/>
      <c r="K88" s="53"/>
      <c r="L88" s="53"/>
      <c r="M88" s="53"/>
      <c r="N88" s="53"/>
      <c r="O88" s="53"/>
      <c r="P88" s="53"/>
      <c r="Q88" s="53"/>
      <c r="R88" s="53"/>
      <c r="S88" s="53"/>
      <c r="T88" s="53"/>
      <c r="U88" s="53"/>
      <c r="V88" s="53"/>
      <c r="W88" s="53"/>
      <c r="X88" s="53"/>
      <c r="Y88" s="53"/>
      <c r="Z88" s="53"/>
      <c r="AA88" s="53"/>
      <c r="AB88" s="53"/>
      <c r="AC88" s="53"/>
      <c r="AD88" s="53"/>
      <c r="AE88" s="53"/>
      <c r="AF88" s="53"/>
      <c r="AG88" s="465"/>
      <c r="AH88" s="53"/>
      <c r="AI88" s="53"/>
      <c r="AJ88" s="53"/>
      <c r="AK88" s="53"/>
      <c r="AL88" s="53"/>
      <c r="AM88" s="53"/>
    </row>
    <row r="89" ht="15.75" spans="1:39">
      <c r="A89" s="53"/>
      <c r="B89" s="53"/>
      <c r="C89" s="54"/>
      <c r="D89" s="53"/>
      <c r="E89" s="53"/>
      <c r="F89" s="53"/>
      <c r="G89" s="439"/>
      <c r="H89" s="440"/>
      <c r="I89" s="439"/>
      <c r="J89" s="53"/>
      <c r="K89" s="53"/>
      <c r="L89" s="53"/>
      <c r="M89" s="53"/>
      <c r="N89" s="53"/>
      <c r="O89" s="53"/>
      <c r="P89" s="53"/>
      <c r="Q89" s="53"/>
      <c r="R89" s="53"/>
      <c r="S89" s="53"/>
      <c r="T89" s="53"/>
      <c r="U89" s="53"/>
      <c r="V89" s="53"/>
      <c r="W89" s="53"/>
      <c r="X89" s="53"/>
      <c r="Y89" s="53"/>
      <c r="Z89" s="53"/>
      <c r="AA89" s="53"/>
      <c r="AB89" s="53"/>
      <c r="AC89" s="53"/>
      <c r="AD89" s="53"/>
      <c r="AE89" s="53"/>
      <c r="AF89" s="53"/>
      <c r="AG89" s="465"/>
      <c r="AH89" s="53"/>
      <c r="AI89" s="53"/>
      <c r="AJ89" s="53"/>
      <c r="AK89" s="53"/>
      <c r="AL89" s="53"/>
      <c r="AM89" s="53"/>
    </row>
    <row r="90" ht="15.75" spans="1:39">
      <c r="A90" s="53"/>
      <c r="B90" s="53"/>
      <c r="C90" s="54"/>
      <c r="D90" s="53"/>
      <c r="E90" s="53"/>
      <c r="F90" s="53"/>
      <c r="G90" s="439"/>
      <c r="H90" s="440"/>
      <c r="I90" s="439"/>
      <c r="J90" s="53"/>
      <c r="K90" s="53"/>
      <c r="L90" s="53"/>
      <c r="M90" s="53"/>
      <c r="N90" s="53"/>
      <c r="O90" s="53"/>
      <c r="P90" s="53"/>
      <c r="Q90" s="53"/>
      <c r="R90" s="53"/>
      <c r="S90" s="53"/>
      <c r="T90" s="53"/>
      <c r="U90" s="53"/>
      <c r="V90" s="53"/>
      <c r="W90" s="53"/>
      <c r="X90" s="53"/>
      <c r="Y90" s="53"/>
      <c r="Z90" s="53"/>
      <c r="AA90" s="53"/>
      <c r="AB90" s="53"/>
      <c r="AC90" s="53"/>
      <c r="AD90" s="53"/>
      <c r="AE90" s="53"/>
      <c r="AF90" s="53"/>
      <c r="AG90" s="465"/>
      <c r="AH90" s="53"/>
      <c r="AI90" s="53"/>
      <c r="AJ90" s="53"/>
      <c r="AK90" s="53"/>
      <c r="AL90" s="53"/>
      <c r="AM90" s="53"/>
    </row>
    <row r="91" ht="15.75" spans="1:39">
      <c r="A91" s="53"/>
      <c r="B91" s="53"/>
      <c r="C91" s="54"/>
      <c r="D91" s="53"/>
      <c r="E91" s="53"/>
      <c r="F91" s="53"/>
      <c r="G91" s="439"/>
      <c r="H91" s="440"/>
      <c r="I91" s="439"/>
      <c r="J91" s="53"/>
      <c r="K91" s="53"/>
      <c r="L91" s="53"/>
      <c r="M91" s="53"/>
      <c r="N91" s="53"/>
      <c r="O91" s="53"/>
      <c r="P91" s="53"/>
      <c r="Q91" s="53"/>
      <c r="R91" s="53"/>
      <c r="S91" s="53"/>
      <c r="T91" s="53"/>
      <c r="U91" s="53"/>
      <c r="V91" s="53"/>
      <c r="W91" s="53"/>
      <c r="X91" s="53"/>
      <c r="Y91" s="53"/>
      <c r="Z91" s="53"/>
      <c r="AA91" s="53"/>
      <c r="AB91" s="53"/>
      <c r="AC91" s="53"/>
      <c r="AD91" s="53"/>
      <c r="AE91" s="53"/>
      <c r="AF91" s="53"/>
      <c r="AG91" s="465"/>
      <c r="AH91" s="53"/>
      <c r="AI91" s="53"/>
      <c r="AJ91" s="53"/>
      <c r="AK91" s="53"/>
      <c r="AL91" s="53"/>
      <c r="AM91" s="53"/>
    </row>
    <row r="92" ht="15.75" spans="1:39">
      <c r="A92" s="53"/>
      <c r="B92" s="53"/>
      <c r="C92" s="54"/>
      <c r="D92" s="53"/>
      <c r="E92" s="53"/>
      <c r="F92" s="53"/>
      <c r="G92" s="439"/>
      <c r="H92" s="440"/>
      <c r="I92" s="439"/>
      <c r="J92" s="53"/>
      <c r="K92" s="53"/>
      <c r="L92" s="53"/>
      <c r="M92" s="53"/>
      <c r="N92" s="53"/>
      <c r="O92" s="53"/>
      <c r="P92" s="53"/>
      <c r="Q92" s="53"/>
      <c r="R92" s="53"/>
      <c r="S92" s="53"/>
      <c r="T92" s="53"/>
      <c r="U92" s="53"/>
      <c r="V92" s="53"/>
      <c r="W92" s="53"/>
      <c r="X92" s="53"/>
      <c r="Y92" s="53"/>
      <c r="Z92" s="53"/>
      <c r="AA92" s="53"/>
      <c r="AB92" s="53"/>
      <c r="AC92" s="53"/>
      <c r="AD92" s="53"/>
      <c r="AE92" s="53"/>
      <c r="AF92" s="53"/>
      <c r="AG92" s="465"/>
      <c r="AH92" s="53"/>
      <c r="AI92" s="53"/>
      <c r="AJ92" s="53"/>
      <c r="AK92" s="53"/>
      <c r="AL92" s="53"/>
      <c r="AM92" s="53"/>
    </row>
    <row r="93" ht="15.75" spans="1:39">
      <c r="A93" s="53"/>
      <c r="B93" s="53"/>
      <c r="C93" s="54"/>
      <c r="D93" s="53"/>
      <c r="E93" s="53"/>
      <c r="F93" s="53"/>
      <c r="G93" s="439"/>
      <c r="H93" s="440"/>
      <c r="I93" s="439"/>
      <c r="J93" s="53"/>
      <c r="K93" s="53"/>
      <c r="L93" s="53"/>
      <c r="M93" s="53"/>
      <c r="N93" s="53"/>
      <c r="O93" s="53"/>
      <c r="P93" s="53"/>
      <c r="Q93" s="53"/>
      <c r="R93" s="53"/>
      <c r="S93" s="53"/>
      <c r="T93" s="53"/>
      <c r="U93" s="53"/>
      <c r="V93" s="53"/>
      <c r="W93" s="53"/>
      <c r="X93" s="53"/>
      <c r="Y93" s="53"/>
      <c r="Z93" s="53"/>
      <c r="AA93" s="53"/>
      <c r="AB93" s="53"/>
      <c r="AC93" s="53"/>
      <c r="AD93" s="53"/>
      <c r="AE93" s="53"/>
      <c r="AF93" s="53"/>
      <c r="AG93" s="465"/>
      <c r="AH93" s="53"/>
      <c r="AI93" s="53"/>
      <c r="AJ93" s="53"/>
      <c r="AK93" s="53"/>
      <c r="AL93" s="53"/>
      <c r="AM93" s="53"/>
    </row>
    <row r="94" ht="15.75" spans="1:39">
      <c r="A94" s="53"/>
      <c r="B94" s="53"/>
      <c r="C94" s="54"/>
      <c r="D94" s="53"/>
      <c r="E94" s="53"/>
      <c r="F94" s="53"/>
      <c r="G94" s="439"/>
      <c r="H94" s="440"/>
      <c r="I94" s="439"/>
      <c r="J94" s="53"/>
      <c r="K94" s="53"/>
      <c r="L94" s="53"/>
      <c r="M94" s="53"/>
      <c r="N94" s="53"/>
      <c r="O94" s="53"/>
      <c r="P94" s="53"/>
      <c r="Q94" s="53"/>
      <c r="R94" s="53"/>
      <c r="S94" s="53"/>
      <c r="T94" s="53"/>
      <c r="U94" s="53"/>
      <c r="V94" s="53"/>
      <c r="W94" s="53"/>
      <c r="X94" s="53"/>
      <c r="Y94" s="53"/>
      <c r="Z94" s="53"/>
      <c r="AA94" s="53"/>
      <c r="AB94" s="53"/>
      <c r="AC94" s="53"/>
      <c r="AD94" s="53"/>
      <c r="AE94" s="53"/>
      <c r="AF94" s="53"/>
      <c r="AG94" s="465"/>
      <c r="AH94" s="53"/>
      <c r="AI94" s="53"/>
      <c r="AJ94" s="53"/>
      <c r="AK94" s="53"/>
      <c r="AL94" s="53"/>
      <c r="AM94" s="53"/>
    </row>
    <row r="95" ht="15.75" spans="1:39">
      <c r="A95" s="53"/>
      <c r="B95" s="53"/>
      <c r="C95" s="54"/>
      <c r="D95" s="53"/>
      <c r="E95" s="53"/>
      <c r="F95" s="53"/>
      <c r="G95" s="439"/>
      <c r="H95" s="440"/>
      <c r="I95" s="439"/>
      <c r="J95" s="53"/>
      <c r="K95" s="53"/>
      <c r="L95" s="53"/>
      <c r="M95" s="53"/>
      <c r="N95" s="53"/>
      <c r="O95" s="53"/>
      <c r="P95" s="53"/>
      <c r="Q95" s="53"/>
      <c r="R95" s="53"/>
      <c r="S95" s="53"/>
      <c r="T95" s="53"/>
      <c r="U95" s="53"/>
      <c r="V95" s="53"/>
      <c r="W95" s="53"/>
      <c r="X95" s="53"/>
      <c r="Y95" s="53"/>
      <c r="Z95" s="53"/>
      <c r="AA95" s="53"/>
      <c r="AB95" s="53"/>
      <c r="AC95" s="53"/>
      <c r="AD95" s="53"/>
      <c r="AE95" s="53"/>
      <c r="AF95" s="53"/>
      <c r="AG95" s="465"/>
      <c r="AH95" s="53"/>
      <c r="AI95" s="53"/>
      <c r="AJ95" s="53"/>
      <c r="AK95" s="53"/>
      <c r="AL95" s="53"/>
      <c r="AM95" s="53"/>
    </row>
    <row r="96" ht="15.75" spans="1:39">
      <c r="A96" s="53"/>
      <c r="B96" s="53"/>
      <c r="C96" s="54"/>
      <c r="D96" s="53"/>
      <c r="E96" s="53"/>
      <c r="F96" s="53"/>
      <c r="G96" s="439"/>
      <c r="H96" s="440"/>
      <c r="I96" s="439"/>
      <c r="J96" s="53"/>
      <c r="K96" s="53"/>
      <c r="L96" s="53"/>
      <c r="M96" s="53"/>
      <c r="N96" s="53"/>
      <c r="O96" s="53"/>
      <c r="P96" s="53"/>
      <c r="Q96" s="53"/>
      <c r="R96" s="53"/>
      <c r="S96" s="53"/>
      <c r="T96" s="53"/>
      <c r="U96" s="53"/>
      <c r="V96" s="53"/>
      <c r="W96" s="53"/>
      <c r="X96" s="53"/>
      <c r="Y96" s="53"/>
      <c r="Z96" s="53"/>
      <c r="AA96" s="53"/>
      <c r="AB96" s="53"/>
      <c r="AC96" s="53"/>
      <c r="AD96" s="53"/>
      <c r="AE96" s="53"/>
      <c r="AF96" s="53"/>
      <c r="AG96" s="465"/>
      <c r="AH96" s="53"/>
      <c r="AI96" s="53"/>
      <c r="AJ96" s="53"/>
      <c r="AK96" s="53"/>
      <c r="AL96" s="53"/>
      <c r="AM96" s="53"/>
    </row>
    <row r="97" ht="15.75" spans="1:39">
      <c r="A97" s="53"/>
      <c r="B97" s="53"/>
      <c r="C97" s="54"/>
      <c r="D97" s="53"/>
      <c r="E97" s="53"/>
      <c r="F97" s="53"/>
      <c r="G97" s="439"/>
      <c r="H97" s="440"/>
      <c r="I97" s="439"/>
      <c r="J97" s="53"/>
      <c r="K97" s="53"/>
      <c r="L97" s="53"/>
      <c r="M97" s="53"/>
      <c r="N97" s="53"/>
      <c r="O97" s="53"/>
      <c r="P97" s="53"/>
      <c r="Q97" s="53"/>
      <c r="R97" s="53"/>
      <c r="S97" s="53"/>
      <c r="T97" s="53"/>
      <c r="U97" s="53"/>
      <c r="V97" s="53"/>
      <c r="W97" s="53"/>
      <c r="X97" s="53"/>
      <c r="Y97" s="53"/>
      <c r="Z97" s="53"/>
      <c r="AA97" s="53"/>
      <c r="AB97" s="53"/>
      <c r="AC97" s="53"/>
      <c r="AD97" s="53"/>
      <c r="AE97" s="53"/>
      <c r="AF97" s="53"/>
      <c r="AG97" s="465"/>
      <c r="AH97" s="53"/>
      <c r="AI97" s="53"/>
      <c r="AJ97" s="53"/>
      <c r="AK97" s="53"/>
      <c r="AL97" s="53"/>
      <c r="AM97" s="53"/>
    </row>
    <row r="98" ht="15.75" spans="1:39">
      <c r="A98" s="53"/>
      <c r="B98" s="53"/>
      <c r="C98" s="54"/>
      <c r="D98" s="53"/>
      <c r="E98" s="53"/>
      <c r="F98" s="53"/>
      <c r="G98" s="439"/>
      <c r="H98" s="440"/>
      <c r="I98" s="439"/>
      <c r="J98" s="53"/>
      <c r="K98" s="53"/>
      <c r="L98" s="53"/>
      <c r="M98" s="53"/>
      <c r="N98" s="53"/>
      <c r="O98" s="53"/>
      <c r="P98" s="53"/>
      <c r="Q98" s="53"/>
      <c r="R98" s="53"/>
      <c r="S98" s="53"/>
      <c r="T98" s="53"/>
      <c r="U98" s="53"/>
      <c r="V98" s="53"/>
      <c r="W98" s="53"/>
      <c r="X98" s="53"/>
      <c r="Y98" s="53"/>
      <c r="Z98" s="53"/>
      <c r="AA98" s="53"/>
      <c r="AB98" s="53"/>
      <c r="AC98" s="53"/>
      <c r="AD98" s="53"/>
      <c r="AE98" s="53"/>
      <c r="AF98" s="53"/>
      <c r="AG98" s="465"/>
      <c r="AH98" s="53"/>
      <c r="AI98" s="53"/>
      <c r="AJ98" s="53"/>
      <c r="AK98" s="53"/>
      <c r="AL98" s="53"/>
      <c r="AM98" s="53"/>
    </row>
    <row r="99" ht="15.75" spans="1:39">
      <c r="A99" s="53"/>
      <c r="B99" s="53"/>
      <c r="C99" s="54"/>
      <c r="D99" s="53"/>
      <c r="E99" s="53"/>
      <c r="F99" s="53"/>
      <c r="G99" s="439"/>
      <c r="H99" s="440"/>
      <c r="I99" s="439"/>
      <c r="J99" s="53"/>
      <c r="K99" s="53"/>
      <c r="L99" s="53"/>
      <c r="M99" s="53"/>
      <c r="N99" s="53"/>
      <c r="O99" s="53"/>
      <c r="P99" s="53"/>
      <c r="Q99" s="53"/>
      <c r="R99" s="53"/>
      <c r="S99" s="53"/>
      <c r="T99" s="53"/>
      <c r="U99" s="53"/>
      <c r="V99" s="53"/>
      <c r="W99" s="53"/>
      <c r="X99" s="53"/>
      <c r="Y99" s="53"/>
      <c r="Z99" s="53"/>
      <c r="AA99" s="53"/>
      <c r="AB99" s="53"/>
      <c r="AC99" s="53"/>
      <c r="AD99" s="53"/>
      <c r="AE99" s="53"/>
      <c r="AF99" s="53"/>
      <c r="AG99" s="465"/>
      <c r="AH99" s="53"/>
      <c r="AI99" s="53"/>
      <c r="AJ99" s="53"/>
      <c r="AK99" s="53"/>
      <c r="AL99" s="53"/>
      <c r="AM99" s="53"/>
    </row>
    <row r="100" ht="15.75" spans="1:39">
      <c r="A100" s="53"/>
      <c r="B100" s="53"/>
      <c r="C100" s="54"/>
      <c r="D100" s="53"/>
      <c r="E100" s="53"/>
      <c r="F100" s="53"/>
      <c r="G100" s="439"/>
      <c r="H100" s="440"/>
      <c r="I100" s="439"/>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465"/>
      <c r="AH100" s="53"/>
      <c r="AI100" s="53"/>
      <c r="AJ100" s="53"/>
      <c r="AK100" s="53"/>
      <c r="AL100" s="53"/>
      <c r="AM100" s="53"/>
    </row>
    <row r="101" ht="15.75" spans="1:39">
      <c r="A101" s="53"/>
      <c r="B101" s="53"/>
      <c r="C101" s="54"/>
      <c r="D101" s="53"/>
      <c r="E101" s="53"/>
      <c r="F101" s="53"/>
      <c r="G101" s="439"/>
      <c r="H101" s="440"/>
      <c r="I101" s="439"/>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465"/>
      <c r="AH101" s="53"/>
      <c r="AI101" s="53"/>
      <c r="AJ101" s="53"/>
      <c r="AK101" s="53"/>
      <c r="AL101" s="53"/>
      <c r="AM101" s="53"/>
    </row>
    <row r="102" ht="15.75" spans="1:39">
      <c r="A102" s="53"/>
      <c r="B102" s="53"/>
      <c r="C102" s="54"/>
      <c r="D102" s="53"/>
      <c r="E102" s="53"/>
      <c r="F102" s="53"/>
      <c r="G102" s="439"/>
      <c r="H102" s="440"/>
      <c r="I102" s="439"/>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465"/>
      <c r="AH102" s="53"/>
      <c r="AI102" s="53"/>
      <c r="AJ102" s="53"/>
      <c r="AK102" s="53"/>
      <c r="AL102" s="53"/>
      <c r="AM102" s="53"/>
    </row>
    <row r="103" ht="15.75" spans="1:39">
      <c r="A103" s="53"/>
      <c r="B103" s="53"/>
      <c r="C103" s="54"/>
      <c r="D103" s="53"/>
      <c r="E103" s="53"/>
      <c r="F103" s="53"/>
      <c r="G103" s="439"/>
      <c r="H103" s="440"/>
      <c r="I103" s="439"/>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465"/>
      <c r="AH103" s="53"/>
      <c r="AI103" s="53"/>
      <c r="AJ103" s="53"/>
      <c r="AK103" s="53"/>
      <c r="AL103" s="53"/>
      <c r="AM103" s="53"/>
    </row>
    <row r="104" ht="15.75" spans="1:39">
      <c r="A104" s="53"/>
      <c r="B104" s="53"/>
      <c r="C104" s="54"/>
      <c r="D104" s="53"/>
      <c r="E104" s="53"/>
      <c r="F104" s="53"/>
      <c r="G104" s="439"/>
      <c r="H104" s="440"/>
      <c r="I104" s="439"/>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465"/>
      <c r="AH104" s="53"/>
      <c r="AI104" s="53"/>
      <c r="AJ104" s="53"/>
      <c r="AK104" s="53"/>
      <c r="AL104" s="53"/>
      <c r="AM104" s="53"/>
    </row>
    <row r="105" ht="15.75" spans="1:39">
      <c r="A105" s="53"/>
      <c r="B105" s="53"/>
      <c r="C105" s="54"/>
      <c r="D105" s="53"/>
      <c r="E105" s="53"/>
      <c r="F105" s="53"/>
      <c r="G105" s="439"/>
      <c r="H105" s="440"/>
      <c r="I105" s="439"/>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465"/>
      <c r="AH105" s="53"/>
      <c r="AI105" s="53"/>
      <c r="AJ105" s="53"/>
      <c r="AK105" s="53"/>
      <c r="AL105" s="53"/>
      <c r="AM105" s="53"/>
    </row>
    <row r="106" ht="15.75" spans="1:39">
      <c r="A106" s="53"/>
      <c r="B106" s="53"/>
      <c r="C106" s="54"/>
      <c r="D106" s="53"/>
      <c r="E106" s="53"/>
      <c r="F106" s="53"/>
      <c r="G106" s="439"/>
      <c r="H106" s="440"/>
      <c r="I106" s="439"/>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465"/>
      <c r="AH106" s="53"/>
      <c r="AI106" s="53"/>
      <c r="AJ106" s="53"/>
      <c r="AK106" s="53"/>
      <c r="AL106" s="53"/>
      <c r="AM106" s="53"/>
    </row>
    <row r="107" ht="15.75" spans="1:39">
      <c r="A107" s="53"/>
      <c r="B107" s="53"/>
      <c r="C107" s="54"/>
      <c r="D107" s="53"/>
      <c r="E107" s="53"/>
      <c r="F107" s="53"/>
      <c r="G107" s="439"/>
      <c r="H107" s="440"/>
      <c r="I107" s="439"/>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465"/>
      <c r="AH107" s="53"/>
      <c r="AI107" s="53"/>
      <c r="AJ107" s="53"/>
      <c r="AK107" s="53"/>
      <c r="AL107" s="53"/>
      <c r="AM107" s="53"/>
    </row>
    <row r="108" ht="15.75" spans="1:39">
      <c r="A108" s="53"/>
      <c r="B108" s="53"/>
      <c r="C108" s="54"/>
      <c r="D108" s="53"/>
      <c r="E108" s="53"/>
      <c r="F108" s="53"/>
      <c r="G108" s="439"/>
      <c r="H108" s="440"/>
      <c r="I108" s="439"/>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465"/>
      <c r="AH108" s="53"/>
      <c r="AI108" s="53"/>
      <c r="AJ108" s="53"/>
      <c r="AK108" s="53"/>
      <c r="AL108" s="53"/>
      <c r="AM108" s="53"/>
    </row>
    <row r="109" ht="15.75" spans="1:39">
      <c r="A109" s="53"/>
      <c r="B109" s="53"/>
      <c r="C109" s="54"/>
      <c r="D109" s="53"/>
      <c r="E109" s="53"/>
      <c r="F109" s="53"/>
      <c r="G109" s="439"/>
      <c r="H109" s="440"/>
      <c r="I109" s="439"/>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465"/>
      <c r="AH109" s="53"/>
      <c r="AI109" s="53"/>
      <c r="AJ109" s="53"/>
      <c r="AK109" s="53"/>
      <c r="AL109" s="53"/>
      <c r="AM109" s="53"/>
    </row>
    <row r="110" ht="15.75" spans="1:39">
      <c r="A110" s="53"/>
      <c r="B110" s="53"/>
      <c r="C110" s="54"/>
      <c r="D110" s="53"/>
      <c r="E110" s="53"/>
      <c r="F110" s="53"/>
      <c r="G110" s="439"/>
      <c r="H110" s="440"/>
      <c r="I110" s="439"/>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465"/>
      <c r="AH110" s="53"/>
      <c r="AI110" s="53"/>
      <c r="AJ110" s="53"/>
      <c r="AK110" s="53"/>
      <c r="AL110" s="53"/>
      <c r="AM110" s="53"/>
    </row>
    <row r="111" ht="15.75" spans="1:39">
      <c r="A111" s="53"/>
      <c r="B111" s="53"/>
      <c r="C111" s="54"/>
      <c r="D111" s="53"/>
      <c r="E111" s="53"/>
      <c r="F111" s="53"/>
      <c r="G111" s="439"/>
      <c r="H111" s="440"/>
      <c r="I111" s="439"/>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465"/>
      <c r="AH111" s="53"/>
      <c r="AI111" s="53"/>
      <c r="AJ111" s="53"/>
      <c r="AK111" s="53"/>
      <c r="AL111" s="53"/>
      <c r="AM111" s="53"/>
    </row>
    <row r="112" ht="15.75" spans="1:39">
      <c r="A112" s="53"/>
      <c r="B112" s="53"/>
      <c r="C112" s="54"/>
      <c r="D112" s="53"/>
      <c r="E112" s="53"/>
      <c r="F112" s="53"/>
      <c r="G112" s="439"/>
      <c r="H112" s="440"/>
      <c r="I112" s="439"/>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465"/>
      <c r="AH112" s="53"/>
      <c r="AI112" s="53"/>
      <c r="AJ112" s="53"/>
      <c r="AK112" s="53"/>
      <c r="AL112" s="53"/>
      <c r="AM112" s="53"/>
    </row>
    <row r="113" ht="15.75" spans="1:39">
      <c r="A113" s="53"/>
      <c r="B113" s="53"/>
      <c r="C113" s="54"/>
      <c r="D113" s="53"/>
      <c r="E113" s="53"/>
      <c r="F113" s="53"/>
      <c r="G113" s="439"/>
      <c r="H113" s="440"/>
      <c r="I113" s="439"/>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465"/>
      <c r="AH113" s="53"/>
      <c r="AI113" s="53"/>
      <c r="AJ113" s="53"/>
      <c r="AK113" s="53"/>
      <c r="AL113" s="53"/>
      <c r="AM113" s="53"/>
    </row>
    <row r="114" ht="15.75" spans="1:39">
      <c r="A114" s="53"/>
      <c r="B114" s="53"/>
      <c r="C114" s="54"/>
      <c r="D114" s="53"/>
      <c r="E114" s="53"/>
      <c r="F114" s="53"/>
      <c r="G114" s="439"/>
      <c r="H114" s="440"/>
      <c r="I114" s="439"/>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465"/>
      <c r="AH114" s="53"/>
      <c r="AI114" s="53"/>
      <c r="AJ114" s="53"/>
      <c r="AK114" s="53"/>
      <c r="AL114" s="53"/>
      <c r="AM114" s="53"/>
    </row>
    <row r="115" ht="15.75" spans="1:39">
      <c r="A115" s="53"/>
      <c r="B115" s="53"/>
      <c r="C115" s="54"/>
      <c r="D115" s="53"/>
      <c r="E115" s="53"/>
      <c r="F115" s="53"/>
      <c r="G115" s="439"/>
      <c r="H115" s="440"/>
      <c r="I115" s="439"/>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465"/>
      <c r="AH115" s="53"/>
      <c r="AI115" s="53"/>
      <c r="AJ115" s="53"/>
      <c r="AK115" s="53"/>
      <c r="AL115" s="53"/>
      <c r="AM115" s="53"/>
    </row>
    <row r="116" ht="15.75" spans="1:39">
      <c r="A116" s="53"/>
      <c r="B116" s="53"/>
      <c r="C116" s="54"/>
      <c r="D116" s="53"/>
      <c r="E116" s="53"/>
      <c r="F116" s="53"/>
      <c r="G116" s="439"/>
      <c r="H116" s="440"/>
      <c r="I116" s="439"/>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465"/>
      <c r="AH116" s="53"/>
      <c r="AI116" s="53"/>
      <c r="AJ116" s="53"/>
      <c r="AK116" s="53"/>
      <c r="AL116" s="53"/>
      <c r="AM116" s="53"/>
    </row>
    <row r="117" ht="15.75" spans="1:39">
      <c r="A117" s="53"/>
      <c r="B117" s="53"/>
      <c r="C117" s="54"/>
      <c r="D117" s="53"/>
      <c r="E117" s="53"/>
      <c r="F117" s="53"/>
      <c r="G117" s="439"/>
      <c r="H117" s="440"/>
      <c r="I117" s="439"/>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465"/>
      <c r="AH117" s="53"/>
      <c r="AI117" s="53"/>
      <c r="AJ117" s="53"/>
      <c r="AK117" s="53"/>
      <c r="AL117" s="53"/>
      <c r="AM117" s="53"/>
    </row>
    <row r="118" ht="15.75" spans="1:39">
      <c r="A118" s="53"/>
      <c r="B118" s="53"/>
      <c r="C118" s="54"/>
      <c r="D118" s="53"/>
      <c r="E118" s="53"/>
      <c r="F118" s="53"/>
      <c r="G118" s="439"/>
      <c r="H118" s="440"/>
      <c r="I118" s="439"/>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465"/>
      <c r="AH118" s="53"/>
      <c r="AI118" s="53"/>
      <c r="AJ118" s="53"/>
      <c r="AK118" s="53"/>
      <c r="AL118" s="53"/>
      <c r="AM118" s="53"/>
    </row>
    <row r="119" ht="15.75" spans="1:39">
      <c r="A119" s="53"/>
      <c r="B119" s="53"/>
      <c r="C119" s="54"/>
      <c r="D119" s="53"/>
      <c r="E119" s="53"/>
      <c r="F119" s="53"/>
      <c r="G119" s="439"/>
      <c r="H119" s="440"/>
      <c r="I119" s="439"/>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465"/>
      <c r="AH119" s="53"/>
      <c r="AI119" s="53"/>
      <c r="AJ119" s="53"/>
      <c r="AK119" s="53"/>
      <c r="AL119" s="53"/>
      <c r="AM119" s="53"/>
    </row>
    <row r="120" ht="15.75" spans="1:39">
      <c r="A120" s="53"/>
      <c r="B120" s="53"/>
      <c r="C120" s="54"/>
      <c r="D120" s="53"/>
      <c r="E120" s="53"/>
      <c r="F120" s="53"/>
      <c r="G120" s="439"/>
      <c r="H120" s="440"/>
      <c r="I120" s="439"/>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465"/>
      <c r="AH120" s="53"/>
      <c r="AI120" s="53"/>
      <c r="AJ120" s="53"/>
      <c r="AK120" s="53"/>
      <c r="AL120" s="53"/>
      <c r="AM120" s="53"/>
    </row>
    <row r="121" ht="15.75" spans="1:39">
      <c r="A121" s="53"/>
      <c r="B121" s="53"/>
      <c r="C121" s="54"/>
      <c r="D121" s="53"/>
      <c r="E121" s="53"/>
      <c r="F121" s="53"/>
      <c r="G121" s="439"/>
      <c r="H121" s="440"/>
      <c r="I121" s="439"/>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465"/>
      <c r="AH121" s="53"/>
      <c r="AI121" s="53"/>
      <c r="AJ121" s="53"/>
      <c r="AK121" s="53"/>
      <c r="AL121" s="53"/>
      <c r="AM121" s="53"/>
    </row>
    <row r="122" ht="15.75" spans="1:39">
      <c r="A122" s="53"/>
      <c r="B122" s="53"/>
      <c r="C122" s="54"/>
      <c r="D122" s="53"/>
      <c r="E122" s="53"/>
      <c r="F122" s="53"/>
      <c r="G122" s="439"/>
      <c r="H122" s="440"/>
      <c r="I122" s="439"/>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465"/>
      <c r="AH122" s="53"/>
      <c r="AI122" s="53"/>
      <c r="AJ122" s="53"/>
      <c r="AK122" s="53"/>
      <c r="AL122" s="53"/>
      <c r="AM122" s="53"/>
    </row>
    <row r="123" ht="15.75" spans="1:39">
      <c r="A123" s="53"/>
      <c r="B123" s="53"/>
      <c r="C123" s="54"/>
      <c r="D123" s="53"/>
      <c r="E123" s="53"/>
      <c r="F123" s="53"/>
      <c r="G123" s="439"/>
      <c r="H123" s="440"/>
      <c r="I123" s="439"/>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465"/>
      <c r="AH123" s="53"/>
      <c r="AI123" s="53"/>
      <c r="AJ123" s="53"/>
      <c r="AK123" s="53"/>
      <c r="AL123" s="53"/>
      <c r="AM123" s="53"/>
    </row>
    <row r="124" ht="15.75" spans="1:39">
      <c r="A124" s="53"/>
      <c r="B124" s="53"/>
      <c r="C124" s="54"/>
      <c r="D124" s="53"/>
      <c r="E124" s="53"/>
      <c r="F124" s="53"/>
      <c r="G124" s="439"/>
      <c r="H124" s="440"/>
      <c r="I124" s="439"/>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465"/>
      <c r="AH124" s="53"/>
      <c r="AI124" s="53"/>
      <c r="AJ124" s="53"/>
      <c r="AK124" s="53"/>
      <c r="AL124" s="53"/>
      <c r="AM124" s="53"/>
    </row>
    <row r="125" ht="15.75" spans="1:39">
      <c r="A125" s="53"/>
      <c r="B125" s="53"/>
      <c r="C125" s="54"/>
      <c r="D125" s="53"/>
      <c r="E125" s="53"/>
      <c r="F125" s="53"/>
      <c r="G125" s="439"/>
      <c r="H125" s="440"/>
      <c r="I125" s="439"/>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465"/>
      <c r="AH125" s="53"/>
      <c r="AI125" s="53"/>
      <c r="AJ125" s="53"/>
      <c r="AK125" s="53"/>
      <c r="AL125" s="53"/>
      <c r="AM125" s="53"/>
    </row>
    <row r="126" ht="15.75" spans="1:39">
      <c r="A126" s="53"/>
      <c r="B126" s="53"/>
      <c r="C126" s="54"/>
      <c r="D126" s="53"/>
      <c r="E126" s="53"/>
      <c r="F126" s="53"/>
      <c r="G126" s="439"/>
      <c r="H126" s="440"/>
      <c r="I126" s="439"/>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465"/>
      <c r="AH126" s="53"/>
      <c r="AI126" s="53"/>
      <c r="AJ126" s="53"/>
      <c r="AK126" s="53"/>
      <c r="AL126" s="53"/>
      <c r="AM126" s="53"/>
    </row>
    <row r="127" ht="15.75" spans="1:39">
      <c r="A127" s="53"/>
      <c r="B127" s="53"/>
      <c r="C127" s="54"/>
      <c r="D127" s="53"/>
      <c r="E127" s="53"/>
      <c r="F127" s="53"/>
      <c r="G127" s="439"/>
      <c r="H127" s="440"/>
      <c r="I127" s="439"/>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465"/>
      <c r="AH127" s="53"/>
      <c r="AI127" s="53"/>
      <c r="AJ127" s="53"/>
      <c r="AK127" s="53"/>
      <c r="AL127" s="53"/>
      <c r="AM127" s="53"/>
    </row>
    <row r="128" ht="15.75" spans="1:39">
      <c r="A128" s="53"/>
      <c r="B128" s="53"/>
      <c r="C128" s="54"/>
      <c r="D128" s="53"/>
      <c r="E128" s="53"/>
      <c r="F128" s="53"/>
      <c r="G128" s="439"/>
      <c r="H128" s="440"/>
      <c r="I128" s="439"/>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465"/>
      <c r="AH128" s="53"/>
      <c r="AI128" s="53"/>
      <c r="AJ128" s="53"/>
      <c r="AK128" s="53"/>
      <c r="AL128" s="53"/>
      <c r="AM128" s="53"/>
    </row>
    <row r="129" ht="15.75" spans="1:39">
      <c r="A129" s="53"/>
      <c r="B129" s="53"/>
      <c r="C129" s="54"/>
      <c r="D129" s="53"/>
      <c r="E129" s="53"/>
      <c r="F129" s="53"/>
      <c r="G129" s="439"/>
      <c r="H129" s="440"/>
      <c r="I129" s="439"/>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465"/>
      <c r="AH129" s="53"/>
      <c r="AI129" s="53"/>
      <c r="AJ129" s="53"/>
      <c r="AK129" s="53"/>
      <c r="AL129" s="53"/>
      <c r="AM129" s="53"/>
    </row>
    <row r="130" ht="15.75" spans="1:39">
      <c r="A130" s="53"/>
      <c r="B130" s="53"/>
      <c r="C130" s="54"/>
      <c r="D130" s="53"/>
      <c r="E130" s="53"/>
      <c r="F130" s="53"/>
      <c r="G130" s="439"/>
      <c r="H130" s="440"/>
      <c r="I130" s="439"/>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465"/>
      <c r="AH130" s="53"/>
      <c r="AI130" s="53"/>
      <c r="AJ130" s="53"/>
      <c r="AK130" s="53"/>
      <c r="AL130" s="53"/>
      <c r="AM130" s="53"/>
    </row>
    <row r="131" ht="15.75" spans="1:39">
      <c r="A131" s="53"/>
      <c r="B131" s="53"/>
      <c r="C131" s="54"/>
      <c r="D131" s="53"/>
      <c r="E131" s="53"/>
      <c r="F131" s="53"/>
      <c r="G131" s="439"/>
      <c r="H131" s="440"/>
      <c r="I131" s="439"/>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465"/>
      <c r="AH131" s="53"/>
      <c r="AI131" s="53"/>
      <c r="AJ131" s="53"/>
      <c r="AK131" s="53"/>
      <c r="AL131" s="53"/>
      <c r="AM131" s="53"/>
    </row>
    <row r="132" ht="15.75" spans="1:39">
      <c r="A132" s="53"/>
      <c r="B132" s="53"/>
      <c r="C132" s="54"/>
      <c r="D132" s="53"/>
      <c r="E132" s="53"/>
      <c r="F132" s="53"/>
      <c r="G132" s="439"/>
      <c r="H132" s="440"/>
      <c r="I132" s="439"/>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465"/>
      <c r="AH132" s="53"/>
      <c r="AI132" s="53"/>
      <c r="AJ132" s="53"/>
      <c r="AK132" s="53"/>
      <c r="AL132" s="53"/>
      <c r="AM132" s="53"/>
    </row>
    <row r="133" ht="15.75" spans="1:39">
      <c r="A133" s="53"/>
      <c r="B133" s="53"/>
      <c r="C133" s="54"/>
      <c r="D133" s="53"/>
      <c r="E133" s="53"/>
      <c r="F133" s="53"/>
      <c r="G133" s="439"/>
      <c r="H133" s="440"/>
      <c r="I133" s="439"/>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465"/>
      <c r="AH133" s="53"/>
      <c r="AI133" s="53"/>
      <c r="AJ133" s="53"/>
      <c r="AK133" s="53"/>
      <c r="AL133" s="53"/>
      <c r="AM133" s="53"/>
    </row>
    <row r="134" ht="15.75" spans="1:39">
      <c r="A134" s="53"/>
      <c r="B134" s="53"/>
      <c r="C134" s="54"/>
      <c r="D134" s="53"/>
      <c r="E134" s="53"/>
      <c r="F134" s="53"/>
      <c r="G134" s="439"/>
      <c r="H134" s="440"/>
      <c r="I134" s="439"/>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465"/>
      <c r="AH134" s="53"/>
      <c r="AI134" s="53"/>
      <c r="AJ134" s="53"/>
      <c r="AK134" s="53"/>
      <c r="AL134" s="53"/>
      <c r="AM134" s="53"/>
    </row>
    <row r="135" ht="15.75" spans="1:39">
      <c r="A135" s="53"/>
      <c r="B135" s="53"/>
      <c r="C135" s="54"/>
      <c r="D135" s="53"/>
      <c r="E135" s="53"/>
      <c r="F135" s="53"/>
      <c r="G135" s="439"/>
      <c r="H135" s="440"/>
      <c r="I135" s="439"/>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465"/>
      <c r="AH135" s="53"/>
      <c r="AI135" s="53"/>
      <c r="AJ135" s="53"/>
      <c r="AK135" s="53"/>
      <c r="AL135" s="53"/>
      <c r="AM135" s="53"/>
    </row>
    <row r="136" ht="15.75" spans="1:39">
      <c r="A136" s="53"/>
      <c r="B136" s="53"/>
      <c r="C136" s="54"/>
      <c r="D136" s="53"/>
      <c r="E136" s="53"/>
      <c r="F136" s="53"/>
      <c r="G136" s="439"/>
      <c r="H136" s="440"/>
      <c r="I136" s="439"/>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465"/>
      <c r="AH136" s="53"/>
      <c r="AI136" s="53"/>
      <c r="AJ136" s="53"/>
      <c r="AK136" s="53"/>
      <c r="AL136" s="53"/>
      <c r="AM136" s="53"/>
    </row>
    <row r="137" ht="15.75" spans="1:39">
      <c r="A137" s="53"/>
      <c r="B137" s="53"/>
      <c r="C137" s="54"/>
      <c r="D137" s="53"/>
      <c r="E137" s="53"/>
      <c r="F137" s="53"/>
      <c r="G137" s="439"/>
      <c r="H137" s="440"/>
      <c r="I137" s="439"/>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465"/>
      <c r="AH137" s="53"/>
      <c r="AI137" s="53"/>
      <c r="AJ137" s="53"/>
      <c r="AK137" s="53"/>
      <c r="AL137" s="53"/>
      <c r="AM137" s="53"/>
    </row>
    <row r="138" ht="15.75" spans="1:39">
      <c r="A138" s="53"/>
      <c r="B138" s="53"/>
      <c r="C138" s="54"/>
      <c r="D138" s="53"/>
      <c r="E138" s="53"/>
      <c r="F138" s="53"/>
      <c r="G138" s="439"/>
      <c r="H138" s="440"/>
      <c r="I138" s="439"/>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465"/>
      <c r="AH138" s="53"/>
      <c r="AI138" s="53"/>
      <c r="AJ138" s="53"/>
      <c r="AK138" s="53"/>
      <c r="AL138" s="53"/>
      <c r="AM138" s="53"/>
    </row>
    <row r="139" ht="15.75" spans="1:39">
      <c r="A139" s="53"/>
      <c r="B139" s="53"/>
      <c r="C139" s="54"/>
      <c r="D139" s="53"/>
      <c r="E139" s="53"/>
      <c r="F139" s="53"/>
      <c r="G139" s="439"/>
      <c r="H139" s="440"/>
      <c r="I139" s="439"/>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465"/>
      <c r="AH139" s="53"/>
      <c r="AI139" s="53"/>
      <c r="AJ139" s="53"/>
      <c r="AK139" s="53"/>
      <c r="AL139" s="53"/>
      <c r="AM139" s="53"/>
    </row>
    <row r="140" ht="15.75" spans="1:39">
      <c r="A140" s="53"/>
      <c r="B140" s="53"/>
      <c r="C140" s="54"/>
      <c r="D140" s="53"/>
      <c r="E140" s="53"/>
      <c r="F140" s="53"/>
      <c r="G140" s="439"/>
      <c r="H140" s="440"/>
      <c r="I140" s="439"/>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465"/>
      <c r="AH140" s="53"/>
      <c r="AI140" s="53"/>
      <c r="AJ140" s="53"/>
      <c r="AK140" s="53"/>
      <c r="AL140" s="53"/>
      <c r="AM140" s="53"/>
    </row>
    <row r="141" ht="15.75" spans="1:39">
      <c r="A141" s="53"/>
      <c r="B141" s="53"/>
      <c r="C141" s="54"/>
      <c r="D141" s="53"/>
      <c r="E141" s="53"/>
      <c r="F141" s="53"/>
      <c r="G141" s="439"/>
      <c r="H141" s="440"/>
      <c r="I141" s="439"/>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465"/>
      <c r="AH141" s="53"/>
      <c r="AI141" s="53"/>
      <c r="AJ141" s="53"/>
      <c r="AK141" s="53"/>
      <c r="AL141" s="53"/>
      <c r="AM141" s="53"/>
    </row>
    <row r="142" ht="15.75" spans="1:39">
      <c r="A142" s="53"/>
      <c r="B142" s="53"/>
      <c r="C142" s="54"/>
      <c r="D142" s="53"/>
      <c r="E142" s="53"/>
      <c r="F142" s="53"/>
      <c r="G142" s="439"/>
      <c r="H142" s="440"/>
      <c r="I142" s="439"/>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465"/>
      <c r="AH142" s="53"/>
      <c r="AI142" s="53"/>
      <c r="AJ142" s="53"/>
      <c r="AK142" s="53"/>
      <c r="AL142" s="53"/>
      <c r="AM142" s="53"/>
    </row>
    <row r="143" ht="15.75" spans="1:39">
      <c r="A143" s="53"/>
      <c r="B143" s="53"/>
      <c r="C143" s="54"/>
      <c r="D143" s="53"/>
      <c r="E143" s="53"/>
      <c r="F143" s="53"/>
      <c r="G143" s="439"/>
      <c r="H143" s="440"/>
      <c r="I143" s="439"/>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465"/>
      <c r="AH143" s="53"/>
      <c r="AI143" s="53"/>
      <c r="AJ143" s="53"/>
      <c r="AK143" s="53"/>
      <c r="AL143" s="53"/>
      <c r="AM143" s="53"/>
    </row>
    <row r="144" ht="15.75" spans="1:39">
      <c r="A144" s="53"/>
      <c r="B144" s="53"/>
      <c r="C144" s="54"/>
      <c r="D144" s="53"/>
      <c r="E144" s="53"/>
      <c r="F144" s="53"/>
      <c r="G144" s="439"/>
      <c r="H144" s="440"/>
      <c r="I144" s="439"/>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465"/>
      <c r="AH144" s="53"/>
      <c r="AI144" s="53"/>
      <c r="AJ144" s="53"/>
      <c r="AK144" s="53"/>
      <c r="AL144" s="53"/>
      <c r="AM144" s="53"/>
    </row>
    <row r="145" ht="15.75" spans="1:39">
      <c r="A145" s="53"/>
      <c r="B145" s="53"/>
      <c r="C145" s="54"/>
      <c r="D145" s="53"/>
      <c r="E145" s="53"/>
      <c r="F145" s="53"/>
      <c r="G145" s="439"/>
      <c r="H145" s="440"/>
      <c r="I145" s="439"/>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465"/>
      <c r="AH145" s="53"/>
      <c r="AI145" s="53"/>
      <c r="AJ145" s="53"/>
      <c r="AK145" s="53"/>
      <c r="AL145" s="53"/>
      <c r="AM145" s="53"/>
    </row>
    <row r="146" ht="15.75" spans="1:39">
      <c r="A146" s="53"/>
      <c r="B146" s="53"/>
      <c r="C146" s="54"/>
      <c r="D146" s="53"/>
      <c r="E146" s="53"/>
      <c r="F146" s="53"/>
      <c r="G146" s="439"/>
      <c r="H146" s="440"/>
      <c r="I146" s="439"/>
      <c r="J146" s="53"/>
      <c r="K146" s="53"/>
      <c r="L146" s="53"/>
      <c r="M146" s="53"/>
      <c r="N146" s="53"/>
      <c r="O146" s="53"/>
      <c r="P146" s="53"/>
      <c r="Q146" s="53"/>
      <c r="R146" s="53"/>
      <c r="S146" s="53"/>
      <c r="T146" s="53"/>
      <c r="U146" s="53"/>
      <c r="V146" s="53"/>
      <c r="W146" s="53"/>
      <c r="X146" s="53"/>
      <c r="Y146" s="53"/>
      <c r="Z146" s="53"/>
      <c r="AA146" s="53"/>
      <c r="AB146" s="53"/>
      <c r="AC146" s="53"/>
      <c r="AE146" s="53"/>
      <c r="AF146" s="53"/>
      <c r="AG146" s="465"/>
      <c r="AK146" s="53"/>
      <c r="AL146" s="53"/>
      <c r="AM146" s="53"/>
    </row>
    <row r="149" spans="7:7">
      <c r="G149" s="466"/>
    </row>
  </sheetData>
  <sheetProtection formatCells="0" formatColumns="0" formatRows="0" insertRows="0" insertColumns="0" insertHyperlinks="0" deleteColumns="0" deleteRows="0" sort="0" autoFilter="0" pivotTables="0"/>
  <autoFilter xmlns:etc="http://www.wps.cn/officeDocument/2017/etCustomData" ref="A1:AM146" etc:filterBottomFollowUsedRange="0">
    <extLst/>
  </autoFilter>
  <conditionalFormatting sqref="B43:C43">
    <cfRule type="duplicateValues" dxfId="0" priority="1"/>
  </conditionalFormatting>
  <conditionalFormatting sqref="B40:B42">
    <cfRule type="duplicateValues" dxfId="0" priority="2"/>
  </conditionalFormatting>
  <dataValidations count="3">
    <dataValidation type="list" allowBlank="1" showInputMessage="1" showErrorMessage="1" sqref="AF42">
      <formula1>付款条款参考!$D$2:$D$17</formula1>
    </dataValidation>
    <dataValidation type="list" allowBlank="1" showInputMessage="1" showErrorMessage="1" sqref="AF43 AF2:AF34">
      <formula1>付款条款参考!$D$2:$D$16</formula1>
    </dataValidation>
    <dataValidation type="list" allowBlank="1" showInputMessage="1" showErrorMessage="1" sqref="AF35:AF41">
      <formula1>付款条款参考!$D$2:$D$13</formula1>
    </dataValidation>
  </dataValidations>
  <hyperlinks>
    <hyperlink ref="V4" r:id="rId1" display="Hoangthienphat368@gmail.com" tooltip="http://Hoangthienphat368@gmail.com"/>
    <hyperlink ref="V13" r:id="rId2" display="toanducfoodhd@gmail.com" tooltip="http://toanducfood@gmail.com"/>
    <hyperlink ref="V18" r:id="rId3" display="hanhchinh@nosafood.com" tooltip="http://hanhchinh@nosafood.com"/>
    <hyperlink ref="V19" r:id="rId3" display="hanhchinh@nosafood.com" tooltip="http://hanhchinh@nosafood.com"/>
    <hyperlink ref="V20" r:id="rId4" display="salesdongtamfood@gmail.com" tooltip="http://salesdongtamfood@gmail.com"/>
    <hyperlink ref="V21" r:id="rId5" display="lanhuonght88.hp@gmail.com" tooltip="http://lanhuonght88.hp@gmail.com"/>
    <hyperlink ref="V24" r:id="rId6" display="kieutrang281097@gmail.com" tooltip="http://kieutrang281097@gmail.com"/>
    <hyperlink ref="V41" r:id="rId7" display="hoang@dora.vn；Huy.nguyen@dora.vn" tooltip="mailto:hoang@dora.vn；Huy.nguyen@dora.vn"/>
  </hyperlinks>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L25"/>
  <sheetViews>
    <sheetView topLeftCell="B8" workbookViewId="0">
      <selection activeCell="A1" sqref="A1"/>
    </sheetView>
  </sheetViews>
  <sheetFormatPr defaultColWidth="21.0666666666667" defaultRowHeight="24.95" customHeight="1"/>
  <cols>
    <col min="1" max="1" width="9.66666666666667" style="412" hidden="1" customWidth="1"/>
    <col min="2" max="2" width="9.475" style="413" customWidth="1"/>
    <col min="3" max="3" width="12.6666666666667" style="413" customWidth="1"/>
    <col min="4" max="4" width="41.9333333333333" style="413" customWidth="1"/>
    <col min="5" max="5" width="12.6666666666667" style="413" hidden="1" customWidth="1"/>
    <col min="6" max="8" width="12.6666666666667" style="413" customWidth="1"/>
    <col min="9" max="9" width="15.2" style="413" customWidth="1"/>
    <col min="10" max="12" width="12.6666666666667" style="413" customWidth="1"/>
    <col min="13" max="26" width="21.0666666666667" style="414"/>
  </cols>
  <sheetData>
    <row r="1" customHeight="1" spans="3:12">
      <c r="C1" s="415" t="s">
        <v>584</v>
      </c>
      <c r="D1" s="416" t="s">
        <v>585</v>
      </c>
      <c r="J1" s="416"/>
      <c r="K1" s="416"/>
      <c r="L1" s="416"/>
    </row>
    <row r="2" s="411" customFormat="1" ht="27.75" customHeight="1" spans="1:12">
      <c r="A2" s="417"/>
      <c r="B2" s="418" t="s">
        <v>0</v>
      </c>
      <c r="C2" s="418" t="s">
        <v>586</v>
      </c>
      <c r="D2" s="418" t="s">
        <v>587</v>
      </c>
      <c r="E2" s="418" t="s">
        <v>588</v>
      </c>
      <c r="F2" s="418" t="s">
        <v>589</v>
      </c>
      <c r="G2" s="418" t="s">
        <v>590</v>
      </c>
      <c r="H2" s="418" t="s">
        <v>591</v>
      </c>
      <c r="I2" s="418" t="s">
        <v>592</v>
      </c>
      <c r="J2" s="418" t="s">
        <v>593</v>
      </c>
      <c r="K2" s="418" t="s">
        <v>594</v>
      </c>
      <c r="L2" s="418" t="s">
        <v>595</v>
      </c>
    </row>
    <row r="3" customHeight="1" spans="1:12">
      <c r="A3" s="419" t="str">
        <f>IFERROR(RANK(J3,$J$3:$J$23,1)+COUNTIFS(J$3:J3,J3)-1,"")</f>
        <v/>
      </c>
      <c r="B3" s="420">
        <v>1</v>
      </c>
      <c r="C3" s="420">
        <v>41005059</v>
      </c>
      <c r="D3" s="420" t="s">
        <v>596</v>
      </c>
      <c r="E3" s="421">
        <v>267.35</v>
      </c>
      <c r="F3" s="420" t="s">
        <v>597</v>
      </c>
      <c r="G3" s="420">
        <v>13</v>
      </c>
      <c r="H3" s="422">
        <v>0.02559375</v>
      </c>
      <c r="I3" s="420" t="s">
        <v>598</v>
      </c>
      <c r="J3" s="425"/>
      <c r="K3" s="420">
        <f t="shared" ref="K3:K24" si="0">J3*G3</f>
        <v>0</v>
      </c>
      <c r="L3" s="422">
        <f t="shared" ref="L3:L24" si="1">H3*J3</f>
        <v>0</v>
      </c>
    </row>
    <row r="4" customHeight="1" spans="1:12">
      <c r="A4" s="419" t="str">
        <f>IFERROR(RANK(J4,$J$3:$J$23,1)+COUNTIFS(J$3:J4,J4)-1,"")</f>
        <v/>
      </c>
      <c r="B4" s="420">
        <v>2</v>
      </c>
      <c r="C4" s="420">
        <v>41005175</v>
      </c>
      <c r="D4" s="420" t="s">
        <v>599</v>
      </c>
      <c r="E4" s="421">
        <v>231.84</v>
      </c>
      <c r="F4" s="420" t="s">
        <v>597</v>
      </c>
      <c r="G4" s="420">
        <v>10.5</v>
      </c>
      <c r="H4" s="422">
        <v>0.036366</v>
      </c>
      <c r="I4" s="420" t="s">
        <v>600</v>
      </c>
      <c r="J4" s="425"/>
      <c r="K4" s="420">
        <f t="shared" si="0"/>
        <v>0</v>
      </c>
      <c r="L4" s="422">
        <f t="shared" si="1"/>
        <v>0</v>
      </c>
    </row>
    <row r="5" customHeight="1" spans="1:12">
      <c r="A5" s="419" t="str">
        <f>IFERROR(RANK(J5,$J$3:$J$23,1)+COUNTIFS(J$3:J5,J5)-1,"")</f>
        <v/>
      </c>
      <c r="B5" s="420">
        <v>3</v>
      </c>
      <c r="C5" s="420">
        <v>41005116</v>
      </c>
      <c r="D5" s="420" t="s">
        <v>601</v>
      </c>
      <c r="E5" s="421">
        <v>239.4</v>
      </c>
      <c r="F5" s="420" t="s">
        <v>597</v>
      </c>
      <c r="G5" s="420">
        <v>8.1</v>
      </c>
      <c r="H5" s="422">
        <v>0.05928</v>
      </c>
      <c r="I5" s="420" t="s">
        <v>602</v>
      </c>
      <c r="J5" s="425"/>
      <c r="K5" s="420">
        <f t="shared" si="0"/>
        <v>0</v>
      </c>
      <c r="L5" s="422">
        <f t="shared" si="1"/>
        <v>0</v>
      </c>
    </row>
    <row r="6" customHeight="1" spans="1:12">
      <c r="A6" s="419" t="str">
        <f>IFERROR(RANK(J6,$J$3:$J$23,1)+COUNTIFS(J$3:J6,J6)-1,"")</f>
        <v/>
      </c>
      <c r="B6" s="420">
        <v>4</v>
      </c>
      <c r="C6" s="420">
        <v>41004086</v>
      </c>
      <c r="D6" s="420" t="s">
        <v>603</v>
      </c>
      <c r="E6" s="421">
        <v>48.83</v>
      </c>
      <c r="F6" s="420" t="s">
        <v>604</v>
      </c>
      <c r="G6" s="420">
        <v>2.4</v>
      </c>
      <c r="H6" s="422">
        <v>0.020475</v>
      </c>
      <c r="I6" s="420" t="s">
        <v>605</v>
      </c>
      <c r="J6" s="425"/>
      <c r="K6" s="420">
        <f t="shared" si="0"/>
        <v>0</v>
      </c>
      <c r="L6" s="422">
        <f t="shared" si="1"/>
        <v>0</v>
      </c>
    </row>
    <row r="7" customHeight="1" spans="1:12">
      <c r="A7" s="419" t="str">
        <f>IFERROR(RANK(J7,$J$3:$J$23,1)+COUNTIFS(J$3:J7,J7)-1,"")</f>
        <v/>
      </c>
      <c r="B7" s="420">
        <v>5</v>
      </c>
      <c r="C7" s="420">
        <v>41004119</v>
      </c>
      <c r="D7" s="420" t="s">
        <v>606</v>
      </c>
      <c r="E7" s="421">
        <v>48.83</v>
      </c>
      <c r="F7" s="420" t="s">
        <v>604</v>
      </c>
      <c r="G7" s="420">
        <v>2.34</v>
      </c>
      <c r="H7" s="422">
        <v>0.01296</v>
      </c>
      <c r="I7" s="420" t="s">
        <v>607</v>
      </c>
      <c r="J7" s="425"/>
      <c r="K7" s="420">
        <f t="shared" si="0"/>
        <v>0</v>
      </c>
      <c r="L7" s="422">
        <f t="shared" si="1"/>
        <v>0</v>
      </c>
    </row>
    <row r="8" customHeight="1" spans="1:12">
      <c r="A8" s="419" t="str">
        <f>IFERROR(RANK(J8,$J$3:$J$23,1)+COUNTIFS(J$3:J8,J8)-1,"")</f>
        <v/>
      </c>
      <c r="B8" s="420">
        <v>6</v>
      </c>
      <c r="C8" s="420">
        <v>41004134</v>
      </c>
      <c r="D8" s="420" t="s">
        <v>608</v>
      </c>
      <c r="E8" s="421">
        <v>48.83</v>
      </c>
      <c r="F8" s="420" t="s">
        <v>604</v>
      </c>
      <c r="G8" s="420">
        <v>2.34</v>
      </c>
      <c r="H8" s="422">
        <v>0.018081</v>
      </c>
      <c r="I8" s="420" t="s">
        <v>609</v>
      </c>
      <c r="J8" s="425"/>
      <c r="K8" s="420">
        <f t="shared" si="0"/>
        <v>0</v>
      </c>
      <c r="L8" s="422">
        <f t="shared" si="1"/>
        <v>0</v>
      </c>
    </row>
    <row r="9" customHeight="1" spans="1:12">
      <c r="A9" s="419" t="str">
        <f>IFERROR(RANK(J9,$J$3:$J$23,1)+COUNTIFS(J$3:J9,J9)-1,"")</f>
        <v/>
      </c>
      <c r="B9" s="420">
        <v>7</v>
      </c>
      <c r="C9" s="420">
        <v>41004752</v>
      </c>
      <c r="D9" s="420" t="s">
        <v>610</v>
      </c>
      <c r="E9" s="421">
        <v>48.83</v>
      </c>
      <c r="F9" s="420" t="s">
        <v>604</v>
      </c>
      <c r="G9" s="420">
        <v>2.34</v>
      </c>
      <c r="H9" s="422">
        <v>0.018081</v>
      </c>
      <c r="I9" s="420" t="s">
        <v>609</v>
      </c>
      <c r="J9" s="425"/>
      <c r="K9" s="420">
        <f t="shared" si="0"/>
        <v>0</v>
      </c>
      <c r="L9" s="422">
        <f t="shared" si="1"/>
        <v>0</v>
      </c>
    </row>
    <row r="10" customHeight="1" spans="1:12">
      <c r="A10" s="419" t="str">
        <f>IFERROR(RANK(J10,$J$3:$J$23,1)+COUNTIFS(J$3:J10,J10)-1,"")</f>
        <v/>
      </c>
      <c r="B10" s="420">
        <v>8</v>
      </c>
      <c r="C10" s="420">
        <v>41003010</v>
      </c>
      <c r="D10" s="420" t="s">
        <v>611</v>
      </c>
      <c r="E10" s="421">
        <v>225.72</v>
      </c>
      <c r="F10" s="420" t="s">
        <v>597</v>
      </c>
      <c r="G10" s="420">
        <v>20.5</v>
      </c>
      <c r="H10" s="422">
        <v>0.0588</v>
      </c>
      <c r="I10" s="420" t="s">
        <v>612</v>
      </c>
      <c r="J10" s="425"/>
      <c r="K10" s="420">
        <f t="shared" si="0"/>
        <v>0</v>
      </c>
      <c r="L10" s="422">
        <f t="shared" si="1"/>
        <v>0</v>
      </c>
    </row>
    <row r="11" customHeight="1" spans="1:12">
      <c r="A11" s="419" t="str">
        <f>IFERROR(RANK(J11,$J$3:$J$23,1)+COUNTIFS(J$3:J11,J11)-1,"")</f>
        <v/>
      </c>
      <c r="B11" s="420">
        <v>9</v>
      </c>
      <c r="C11" s="420">
        <v>41003071</v>
      </c>
      <c r="D11" s="420" t="s">
        <v>613</v>
      </c>
      <c r="E11" s="421">
        <v>302.4</v>
      </c>
      <c r="F11" s="420" t="s">
        <v>597</v>
      </c>
      <c r="G11" s="420">
        <v>21.57</v>
      </c>
      <c r="H11" s="422">
        <v>0.1296</v>
      </c>
      <c r="I11" s="420" t="s">
        <v>614</v>
      </c>
      <c r="J11" s="425"/>
      <c r="K11" s="420">
        <f t="shared" si="0"/>
        <v>0</v>
      </c>
      <c r="L11" s="422">
        <f t="shared" si="1"/>
        <v>0</v>
      </c>
    </row>
    <row r="12" customHeight="1" spans="1:12">
      <c r="A12" s="419" t="str">
        <f>IFERROR(RANK(J12,$J$3:$J$23,1)+COUNTIFS(J$3:J12,J12)-1,"")</f>
        <v/>
      </c>
      <c r="B12" s="420">
        <v>10</v>
      </c>
      <c r="C12" s="420">
        <v>41003072</v>
      </c>
      <c r="D12" s="420" t="s">
        <v>615</v>
      </c>
      <c r="E12" s="421">
        <v>302.4</v>
      </c>
      <c r="F12" s="420" t="s">
        <v>597</v>
      </c>
      <c r="G12" s="420">
        <v>21.57</v>
      </c>
      <c r="H12" s="422">
        <v>0.1296</v>
      </c>
      <c r="I12" s="420" t="s">
        <v>614</v>
      </c>
      <c r="J12" s="425"/>
      <c r="K12" s="420">
        <f t="shared" si="0"/>
        <v>0</v>
      </c>
      <c r="L12" s="422">
        <f t="shared" si="1"/>
        <v>0</v>
      </c>
    </row>
    <row r="13" customHeight="1" spans="1:12">
      <c r="A13" s="419" t="str">
        <f>IFERROR(RANK(J13,$J$3:$J$23,1)+COUNTIFS(J$3:J13,J13)-1,"")</f>
        <v/>
      </c>
      <c r="B13" s="420">
        <v>11</v>
      </c>
      <c r="C13" s="420">
        <v>41003070</v>
      </c>
      <c r="D13" s="420" t="s">
        <v>616</v>
      </c>
      <c r="E13" s="421">
        <v>199.8</v>
      </c>
      <c r="F13" s="420" t="s">
        <v>597</v>
      </c>
      <c r="G13" s="420">
        <v>15.95</v>
      </c>
      <c r="H13" s="420">
        <v>0.079</v>
      </c>
      <c r="I13" s="420" t="s">
        <v>617</v>
      </c>
      <c r="J13" s="425"/>
      <c r="K13" s="420">
        <f t="shared" si="0"/>
        <v>0</v>
      </c>
      <c r="L13" s="422">
        <f t="shared" si="1"/>
        <v>0</v>
      </c>
    </row>
    <row r="14" customHeight="1" spans="1:12">
      <c r="A14" s="419" t="str">
        <f>IFERROR(RANK(J14,$J$3:$J$23,1)+COUNTIFS(J$3:J14,J14)-1,"")</f>
        <v/>
      </c>
      <c r="B14" s="420">
        <v>12</v>
      </c>
      <c r="C14" s="420">
        <v>41002036</v>
      </c>
      <c r="D14" s="420" t="s">
        <v>618</v>
      </c>
      <c r="E14" s="421">
        <v>19.55</v>
      </c>
      <c r="F14" s="420" t="s">
        <v>619</v>
      </c>
      <c r="G14" s="420">
        <v>1.241</v>
      </c>
      <c r="H14" s="422">
        <v>0.001</v>
      </c>
      <c r="I14" s="420" t="s">
        <v>620</v>
      </c>
      <c r="J14" s="425"/>
      <c r="K14" s="420">
        <f t="shared" si="0"/>
        <v>0</v>
      </c>
      <c r="L14" s="422">
        <f t="shared" si="1"/>
        <v>0</v>
      </c>
    </row>
    <row r="15" customHeight="1" spans="1:12">
      <c r="A15" s="419" t="str">
        <f>IFERROR(RANK(J15,$J$3:$J$23,1)+COUNTIFS(J$3:J15,J15)-1,"")</f>
        <v/>
      </c>
      <c r="B15" s="420">
        <v>13</v>
      </c>
      <c r="C15" s="420">
        <v>41002037</v>
      </c>
      <c r="D15" s="420" t="s">
        <v>621</v>
      </c>
      <c r="E15" s="421">
        <v>27.29</v>
      </c>
      <c r="F15" s="420" t="s">
        <v>619</v>
      </c>
      <c r="G15" s="420">
        <v>0.958</v>
      </c>
      <c r="H15" s="422">
        <v>0.001</v>
      </c>
      <c r="I15" s="420" t="s">
        <v>620</v>
      </c>
      <c r="J15" s="425"/>
      <c r="K15" s="420">
        <f t="shared" si="0"/>
        <v>0</v>
      </c>
      <c r="L15" s="422">
        <f t="shared" si="1"/>
        <v>0</v>
      </c>
    </row>
    <row r="16" customHeight="1" spans="1:12">
      <c r="A16" s="419" t="str">
        <f>IFERROR(RANK(J16,$J$3:$J$23,1)+COUNTIFS(J$3:J16,J16)-1,"")</f>
        <v/>
      </c>
      <c r="B16" s="420">
        <v>14</v>
      </c>
      <c r="C16" s="420">
        <v>41004052</v>
      </c>
      <c r="D16" s="420" t="s">
        <v>622</v>
      </c>
      <c r="E16" s="421">
        <v>11.55</v>
      </c>
      <c r="F16" s="420" t="s">
        <v>623</v>
      </c>
      <c r="G16" s="420">
        <v>0.06</v>
      </c>
      <c r="H16" s="422">
        <v>0.001</v>
      </c>
      <c r="I16" s="420" t="s">
        <v>624</v>
      </c>
      <c r="J16" s="425"/>
      <c r="K16" s="420">
        <f t="shared" si="0"/>
        <v>0</v>
      </c>
      <c r="L16" s="422">
        <f t="shared" si="1"/>
        <v>0</v>
      </c>
    </row>
    <row r="17" customHeight="1" spans="1:12">
      <c r="A17" s="419" t="str">
        <f>IFERROR(RANK(J17,$J$3:$J$23,1)+COUNTIFS(J$3:J17,J17)-1,"")</f>
        <v/>
      </c>
      <c r="B17" s="420">
        <v>15</v>
      </c>
      <c r="C17" s="420">
        <v>41004109</v>
      </c>
      <c r="D17" s="420" t="s">
        <v>625</v>
      </c>
      <c r="E17" s="421">
        <v>10</v>
      </c>
      <c r="F17" s="420" t="s">
        <v>623</v>
      </c>
      <c r="G17" s="420">
        <v>0.145</v>
      </c>
      <c r="H17" s="422">
        <v>0.001</v>
      </c>
      <c r="I17" s="420" t="s">
        <v>626</v>
      </c>
      <c r="J17" s="425"/>
      <c r="K17" s="420">
        <f t="shared" si="0"/>
        <v>0</v>
      </c>
      <c r="L17" s="422">
        <f t="shared" si="1"/>
        <v>0</v>
      </c>
    </row>
    <row r="18" customHeight="1" spans="1:12">
      <c r="A18" s="419" t="str">
        <f>IFERROR(RANK(J18,$J$3:$J$23,1)+COUNTIFS(J$3:J18,J18)-1,"")</f>
        <v/>
      </c>
      <c r="B18" s="420">
        <v>16</v>
      </c>
      <c r="C18" s="420">
        <v>41004150</v>
      </c>
      <c r="D18" s="420" t="s">
        <v>627</v>
      </c>
      <c r="E18" s="421">
        <v>12.6</v>
      </c>
      <c r="F18" s="420" t="s">
        <v>623</v>
      </c>
      <c r="G18" s="420">
        <v>0.15</v>
      </c>
      <c r="H18" s="422">
        <v>0.001</v>
      </c>
      <c r="I18" s="420" t="s">
        <v>628</v>
      </c>
      <c r="J18" s="425"/>
      <c r="K18" s="420">
        <f t="shared" si="0"/>
        <v>0</v>
      </c>
      <c r="L18" s="422">
        <f t="shared" si="1"/>
        <v>0</v>
      </c>
    </row>
    <row r="19" customHeight="1" spans="1:12">
      <c r="A19" s="419" t="str">
        <f>IFERROR(RANK(J19,$J$3:$J$23,1)+COUNTIFS(J$3:J19,J19)-1,"")</f>
        <v/>
      </c>
      <c r="B19" s="420">
        <v>17</v>
      </c>
      <c r="C19" s="420">
        <v>41004049</v>
      </c>
      <c r="D19" s="420" t="s">
        <v>629</v>
      </c>
      <c r="E19" s="421">
        <v>60</v>
      </c>
      <c r="F19" s="420" t="s">
        <v>623</v>
      </c>
      <c r="G19" s="420">
        <v>0.85</v>
      </c>
      <c r="H19" s="422">
        <v>0.0546</v>
      </c>
      <c r="I19" s="420" t="s">
        <v>630</v>
      </c>
      <c r="J19" s="425"/>
      <c r="K19" s="420">
        <f t="shared" si="0"/>
        <v>0</v>
      </c>
      <c r="L19" s="422">
        <f t="shared" si="1"/>
        <v>0</v>
      </c>
    </row>
    <row r="20" customHeight="1" spans="1:12">
      <c r="A20" s="419" t="str">
        <f>IFERROR(RANK(J20,$J$3:$J$23,1)+COUNTIFS(J$3:J20,J20)-1,"")</f>
        <v/>
      </c>
      <c r="B20" s="420">
        <v>18</v>
      </c>
      <c r="C20" s="420">
        <v>41004142</v>
      </c>
      <c r="D20" s="420" t="s">
        <v>631</v>
      </c>
      <c r="E20" s="421">
        <v>60.9</v>
      </c>
      <c r="F20" s="420" t="s">
        <v>623</v>
      </c>
      <c r="G20" s="420">
        <v>0.4</v>
      </c>
      <c r="H20" s="422">
        <v>0.0014</v>
      </c>
      <c r="I20" s="420" t="s">
        <v>632</v>
      </c>
      <c r="J20" s="425"/>
      <c r="K20" s="420">
        <f t="shared" si="0"/>
        <v>0</v>
      </c>
      <c r="L20" s="422">
        <f t="shared" si="1"/>
        <v>0</v>
      </c>
    </row>
    <row r="21" customHeight="1" spans="1:12">
      <c r="A21" s="419" t="str">
        <f>IFERROR(RANK(J21,$J$3:$J$23,1)+COUNTIFS(J$3:J21,J21)-1,"")</f>
        <v/>
      </c>
      <c r="B21" s="420">
        <v>19</v>
      </c>
      <c r="C21" s="420">
        <v>41004148</v>
      </c>
      <c r="D21" s="420" t="s">
        <v>633</v>
      </c>
      <c r="E21" s="421">
        <v>54.6</v>
      </c>
      <c r="F21" s="420" t="s">
        <v>623</v>
      </c>
      <c r="G21" s="420">
        <v>0.43</v>
      </c>
      <c r="H21" s="422">
        <v>0.0014</v>
      </c>
      <c r="I21" s="420" t="s">
        <v>632</v>
      </c>
      <c r="J21" s="425"/>
      <c r="K21" s="420">
        <f t="shared" si="0"/>
        <v>0</v>
      </c>
      <c r="L21" s="422">
        <f t="shared" si="1"/>
        <v>0</v>
      </c>
    </row>
    <row r="22" ht="26.25" customHeight="1" spans="1:12">
      <c r="A22" s="419" t="str">
        <f>IFERROR(RANK(J22,$J$3:$J$23,1)+COUNTIFS(J$3:J22,J22)-1,"")</f>
        <v/>
      </c>
      <c r="B22" s="420">
        <v>20</v>
      </c>
      <c r="C22" s="420">
        <v>41004161</v>
      </c>
      <c r="D22" s="420" t="s">
        <v>634</v>
      </c>
      <c r="E22" s="421">
        <v>19.95</v>
      </c>
      <c r="F22" s="420" t="s">
        <v>623</v>
      </c>
      <c r="G22" s="420">
        <v>0.416</v>
      </c>
      <c r="H22" s="422">
        <v>0.0006</v>
      </c>
      <c r="I22" s="420" t="s">
        <v>635</v>
      </c>
      <c r="J22" s="425"/>
      <c r="K22" s="420">
        <f t="shared" si="0"/>
        <v>0</v>
      </c>
      <c r="L22" s="422">
        <f t="shared" si="1"/>
        <v>0</v>
      </c>
    </row>
    <row r="23" ht="26.25" customHeight="1" spans="1:12">
      <c r="A23" s="419" t="str">
        <f>IFERROR(RANK(J23,$J$3:$J$23,1)+COUNTIFS(J$3:J23,J23)-1,"")</f>
        <v/>
      </c>
      <c r="B23" s="420">
        <v>21</v>
      </c>
      <c r="C23" s="420">
        <v>41004323</v>
      </c>
      <c r="D23" s="420" t="s">
        <v>636</v>
      </c>
      <c r="E23" s="421">
        <v>136</v>
      </c>
      <c r="F23" s="420" t="s">
        <v>604</v>
      </c>
      <c r="G23" s="420">
        <v>0.86</v>
      </c>
      <c r="H23" s="422">
        <v>0.004232</v>
      </c>
      <c r="I23" s="420" t="s">
        <v>637</v>
      </c>
      <c r="J23" s="425"/>
      <c r="K23" s="420">
        <f t="shared" si="0"/>
        <v>0</v>
      </c>
      <c r="L23" s="422">
        <f t="shared" si="1"/>
        <v>0</v>
      </c>
    </row>
    <row r="24" ht="26.25" hidden="1" customHeight="1" spans="1:12">
      <c r="A24" s="419" t="str">
        <f>IFERROR(RANK(J24,$J$3:$J$23,1)+COUNTIFS(J$3:J24,J24)-1,"")</f>
        <v/>
      </c>
      <c r="B24" s="420">
        <v>22</v>
      </c>
      <c r="C24" s="420">
        <v>41003081</v>
      </c>
      <c r="D24" s="420" t="s">
        <v>638</v>
      </c>
      <c r="E24" s="421">
        <v>239</v>
      </c>
      <c r="F24" s="420" t="s">
        <v>597</v>
      </c>
      <c r="G24" s="420">
        <v>12</v>
      </c>
      <c r="H24" s="422">
        <v>0.005</v>
      </c>
      <c r="I24" s="420" t="s">
        <v>639</v>
      </c>
      <c r="J24" s="425"/>
      <c r="K24" s="420">
        <f t="shared" si="0"/>
        <v>0</v>
      </c>
      <c r="L24" s="422">
        <f t="shared" si="1"/>
        <v>0</v>
      </c>
    </row>
    <row r="25" customHeight="1" spans="2:12">
      <c r="B25" s="423" t="s">
        <v>640</v>
      </c>
      <c r="C25" s="424"/>
      <c r="D25" s="424"/>
      <c r="E25" s="424"/>
      <c r="F25" s="424"/>
      <c r="G25" s="424"/>
      <c r="H25" s="424"/>
      <c r="I25" s="426"/>
      <c r="J25" s="427">
        <f>SUM(J3:J24)</f>
        <v>0</v>
      </c>
      <c r="K25" s="427">
        <f>SUM(K3:K24)</f>
        <v>0</v>
      </c>
      <c r="L25" s="428">
        <f>SUM(L3:L24)</f>
        <v>0</v>
      </c>
    </row>
  </sheetData>
  <sheetProtection algorithmName="SHA-512" hashValue="8Lr3Vd9edvJLmnNWqzYX0mu/i7l1ehpqOAKtTZ6zSRZkq4LSKR/ZkpU59VO3ctu8azKf09VOvgP2HQxcVlILbg==" saltValue="gZT0eXI0LSF0+f7Q8NB1hA==" spinCount="100000" sheet="1" selectLockedCells="1"/>
  <mergeCells count="1">
    <mergeCell ref="B25:I25"/>
  </mergeCells>
  <pageMargins left="0.7" right="0.7" top="0.75" bottom="0.75" header="0.3" footer="0.3"/>
  <pageSetup paperSize="1" orientation="portrait"/>
  <headerFooter/>
  <ignoredErrors>
    <ignoredError sqref="A23"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showGridLines="0" topLeftCell="B1" workbookViewId="0">
      <selection activeCell="A1" sqref="A1"/>
    </sheetView>
  </sheetViews>
  <sheetFormatPr defaultColWidth="8.93333333333333" defaultRowHeight="15"/>
  <cols>
    <col min="1" max="1" width="19.9333333333333" style="376" customWidth="1"/>
    <col min="2" max="2" width="17.525" style="376" customWidth="1"/>
    <col min="3" max="14" width="10.6666666666667" style="376" customWidth="1"/>
    <col min="15" max="16" width="10.475" style="376" customWidth="1"/>
    <col min="17" max="26" width="8.93333333333333" style="376"/>
  </cols>
  <sheetData>
    <row r="1" ht="26.45" customHeight="1" spans="1:14">
      <c r="A1" s="377" t="s">
        <v>641</v>
      </c>
      <c r="B1" s="377"/>
      <c r="C1" s="378" t="e">
        <f>#REF!</f>
        <v>#REF!</v>
      </c>
      <c r="D1" s="378"/>
      <c r="E1" s="378"/>
      <c r="F1" s="377"/>
      <c r="G1" s="377" t="s">
        <v>642</v>
      </c>
      <c r="H1" s="377"/>
      <c r="I1" s="377"/>
      <c r="J1" s="377"/>
      <c r="K1" s="377"/>
      <c r="L1" s="377"/>
      <c r="M1" s="377"/>
      <c r="N1" s="377"/>
    </row>
    <row r="2" ht="21" customHeight="1" spans="1:14">
      <c r="A2" s="379"/>
      <c r="B2" s="380" t="e">
        <f>C1+10^12</f>
        <v>#REF!</v>
      </c>
      <c r="C2" s="381">
        <v>1</v>
      </c>
      <c r="D2" s="381">
        <v>2</v>
      </c>
      <c r="E2" s="381">
        <v>3</v>
      </c>
      <c r="F2" s="382">
        <v>4</v>
      </c>
      <c r="G2" s="382">
        <v>5</v>
      </c>
      <c r="H2" s="382">
        <v>6</v>
      </c>
      <c r="I2" s="402">
        <v>7</v>
      </c>
      <c r="J2" s="402">
        <v>8</v>
      </c>
      <c r="K2" s="402">
        <v>9</v>
      </c>
      <c r="L2" s="403">
        <v>10</v>
      </c>
      <c r="M2" s="403">
        <v>11</v>
      </c>
      <c r="N2" s="404">
        <v>12</v>
      </c>
    </row>
    <row r="3" ht="21" customHeight="1" spans="1:14">
      <c r="A3" s="383" t="s">
        <v>643</v>
      </c>
      <c r="B3" s="384"/>
      <c r="C3" s="385" t="e">
        <f>VALUE(MID(B2,C2+1,1))</f>
        <v>#REF!</v>
      </c>
      <c r="D3" s="385" t="e">
        <f>VALUE(MID(B2,D2+1,1))</f>
        <v>#REF!</v>
      </c>
      <c r="E3" s="385" t="e">
        <f>VALUE(MID(B2,E2+1,1))</f>
        <v>#REF!</v>
      </c>
      <c r="F3" s="386" t="e">
        <f>VALUE(MID(B2,F2+1,1))</f>
        <v>#REF!</v>
      </c>
      <c r="G3" s="386" t="e">
        <f>VALUE(MID(B2,G2+1,1))</f>
        <v>#REF!</v>
      </c>
      <c r="H3" s="386" t="e">
        <f>VALUE(MID(B2,H2+1,1))</f>
        <v>#REF!</v>
      </c>
      <c r="I3" s="405" t="e">
        <f>VALUE(MID(B2,I2+1,1))</f>
        <v>#REF!</v>
      </c>
      <c r="J3" s="405" t="e">
        <f>VALUE(MID(B2,J2+1,1))</f>
        <v>#REF!</v>
      </c>
      <c r="K3" s="405" t="e">
        <f>VALUE(MID(B2,K2+1,1))</f>
        <v>#REF!</v>
      </c>
      <c r="L3" s="406" t="e">
        <f>VALUE(MID(B2,L2+1,1))</f>
        <v>#REF!</v>
      </c>
      <c r="M3" s="406" t="e">
        <f>VALUE(MID(B2,M2+1,1))</f>
        <v>#REF!</v>
      </c>
      <c r="N3" s="407" t="e">
        <f>VALUE(MID(B2,N2+1,1))</f>
        <v>#REF!</v>
      </c>
    </row>
    <row r="4" ht="21" customHeight="1" spans="1:14">
      <c r="A4" s="387" t="s">
        <v>644</v>
      </c>
      <c r="B4" s="388"/>
      <c r="C4" s="389"/>
      <c r="D4" s="389" t="s">
        <v>645</v>
      </c>
      <c r="E4" s="389" t="s">
        <v>646</v>
      </c>
      <c r="F4" s="389"/>
      <c r="G4" s="389" t="s">
        <v>645</v>
      </c>
      <c r="H4" s="389" t="s">
        <v>647</v>
      </c>
      <c r="I4" s="389"/>
      <c r="J4" s="389" t="s">
        <v>645</v>
      </c>
      <c r="K4" s="389" t="s">
        <v>648</v>
      </c>
      <c r="L4" s="389"/>
      <c r="M4" s="389" t="s">
        <v>649</v>
      </c>
      <c r="N4" s="389" t="s">
        <v>650</v>
      </c>
    </row>
    <row r="5" ht="21" customHeight="1" spans="1:14">
      <c r="A5" s="390" t="s">
        <v>651</v>
      </c>
      <c r="B5" s="391"/>
      <c r="C5" s="392" t="e">
        <f>IF(C3=0,"",CHOOSE(C3,"một","hai","ba","bốn","năm","sáu","bảy","tám","chín")&amp;" trăm")</f>
        <v>#REF!</v>
      </c>
      <c r="D5" s="393" t="e">
        <f>IF(SUM(C3:D3)=0,"",IF(AND(D3=0,E3=0),"",IF(AND(D3=0,E3&lt;&gt;0),D4,CHOOSE(D3,"mười","hai mươi","ba mươi","bốn mươi","năm mươi","sáu mươi","bảy mươi","tám mươi","chín mươi"))))</f>
        <v>#REF!</v>
      </c>
      <c r="E5" s="393" t="e">
        <f>IF(SUM(C3:E3)=0,"",IF(AND(SUM(C3:D3)&gt;0,E3=0)," "&amp;E4,CHOOSE(E3,IF(D3&gt;0,"mốt","một"),"hai","ba","bốn",IF(D3&gt;0,"lăm","năm"),"sáu","bảy","tám","chín")&amp;" "&amp;E4))</f>
        <v>#REF!</v>
      </c>
      <c r="F5" s="393" t="e">
        <f>IF(SUM(C3:F3)=0,"",IF(SUM(F3:H3)=0,"",IF(F3=0,"không trăm",CHOOSE(F3,"một","hai","ba","bốn","năm","sáu","bảy","tám","chín")&amp;" trăm")))</f>
        <v>#REF!</v>
      </c>
      <c r="G5" s="393" t="e">
        <f>IF(SUM(C3:G3)=0,"",IF(AND(G3=0,H3=0),"",IF(AND(G3=0,H3&lt;&gt;0),G4,CHOOSE(G3,"mười","hai mươi","ba mươi","bốn mươi","năm mươi","sáu mươi","bảy mươi","tám mươi","chín mươi"))))</f>
        <v>#REF!</v>
      </c>
      <c r="H5" s="393" t="e">
        <f>IF(SUM(F3:H3)=0,"",IF(AND(SUM(C3:G3)&gt;0,H3=0)," "&amp;H4,CHOOSE(H3,IF(G3&gt;0,"mốt","một"),"hai","ba","bốn",IF(G3&gt;0,"lăm","năm"),"sáu","bảy","tám","chín")&amp;" "&amp;H4))</f>
        <v>#REF!</v>
      </c>
      <c r="I5" s="393" t="e">
        <f>IF(SUM(C3:I3)=0,"",IF(SUM(I3:K3)=0,"",IF(I3=0,"không trăm",CHOOSE(I3,"một","hai","ba","bốn","năm","sáu","bảy","tám","chín")&amp;" trăm")))</f>
        <v>#REF!</v>
      </c>
      <c r="J5" s="393" t="e">
        <f>IF(SUM(C3:J3)=0,"",IF(AND(J3=0,K3=0),"",IF(AND(J3=0,K3&lt;&gt;0),J4,CHOOSE(J3,"mười","hai mươi","ba mươi","bốn mươi","năm mươi","sáu mươi","bảy mươi","tám mươi","chín mươi"))))</f>
        <v>#REF!</v>
      </c>
      <c r="K5" s="393" t="e">
        <f>IF(SUM(I3:K3)=0,"",IF(AND(SUM(C3:J3)&gt;0,K3=0)," "&amp;K4,CHOOSE(K3,IF(J3&gt;0,"mốt","một"),"hai","ba","bốn",IF(J3&gt;0,"lăm","năm"),"sáu","bảy","tám","chín")&amp;" "&amp;K4))</f>
        <v>#REF!</v>
      </c>
      <c r="L5" s="393" t="e">
        <f>IF(SUM(C3:L3)=0,"",IF(SUM(L3:N3)=0,"",IF(L3=0,"không trăm",CHOOSE(L3,"một","hai","ba","bốn","năm","sáu","bảy","tám","chín")&amp;" trăm")))</f>
        <v>#REF!</v>
      </c>
      <c r="M5" s="393" t="e">
        <f>IF(SUM(C3:M3)=0,"",IF(AND(M3=0,N3=0),"",IF(AND(M3=0,N3&lt;&gt;0),M4,CHOOSE(M3,"mười","hai mươi","ba mươi","bốn mươi","năm mươi","sáu mươi","bảy mươi","tám mươi","chín mươi"))))</f>
        <v>#REF!</v>
      </c>
      <c r="N5" s="408" t="e">
        <f>IF(SUM(C3:N3)=0,"Không "&amp;N4,IF(AND(SUM(C3:K3)&gt;0,SUM(L3:N3)=0)," "&amp;N4&amp;" chẵn",IF(N3=0," "&amp;N4,CHOOSE(N3,IF(M3&gt;0,"mốt","một"),"hai","ba","bốn",IF(M3&gt;0,"lăm","năm"),"sáu","bảy","tám","chín")&amp;" "&amp;N4)))&amp;"./."</f>
        <v>#REF!</v>
      </c>
    </row>
    <row r="6" ht="21" customHeight="1" spans="1:14">
      <c r="A6" s="394" t="s">
        <v>652</v>
      </c>
      <c r="B6" s="395"/>
      <c r="C6" s="396" t="e">
        <f>IF(C5="","",IF(COUNTIF(B5,"")=C2,UPPER(LEFT(C5,1))&amp;RIGHT(C5,LEN(C5)-1),C5))</f>
        <v>#REF!</v>
      </c>
      <c r="D6" s="397" t="e">
        <f>IF(D5="","",IF(COUNTIF(B5:C5,"")=D2,UPPER(LEFT(D5,1))&amp;RIGHT(D5,LEN(D5)-1),D5))</f>
        <v>#REF!</v>
      </c>
      <c r="E6" s="397" t="e">
        <f>IF(E5="","",IF(COUNTIF(B5:D5,"")=E2,UPPER(LEFT(E5,1))&amp;RIGHT(E5,LEN(E5)-1),E5))</f>
        <v>#REF!</v>
      </c>
      <c r="F6" s="397" t="e">
        <f>IF(F5="","",IF(COUNTIF(B5:E5,"")=F2,UPPER(LEFT(F5,1))&amp;RIGHT(F5,LEN(F5)-1),F5))</f>
        <v>#REF!</v>
      </c>
      <c r="G6" s="397" t="e">
        <f>IF(G5="","",IF(COUNTIF(B5:F5,"")=G2,UPPER(LEFT(G5,1))&amp;RIGHT(G5,LEN(G5)-1),G5))</f>
        <v>#REF!</v>
      </c>
      <c r="H6" s="397" t="e">
        <f>IF(H5="","",IF(COUNTIF(B5:G5,"")=H2,UPPER(LEFT(H5,1))&amp;RIGHT(H5,LEN(H5)-1),H5))</f>
        <v>#REF!</v>
      </c>
      <c r="I6" s="397" t="e">
        <f>IF(I5="","",IF(COUNTIF(B5:H5,"")=I2,UPPER(LEFT(I5,1))&amp;RIGHT(I5,LEN(I5)-1),I5))</f>
        <v>#REF!</v>
      </c>
      <c r="J6" s="397" t="e">
        <f>IF(J5="","",IF(COUNTIF(B5:I5,"")=J2,UPPER(LEFT(J5,1))&amp;RIGHT(J5,LEN(J5)-1),J5))</f>
        <v>#REF!</v>
      </c>
      <c r="K6" s="397" t="e">
        <f>IF(K5="","",IF(COUNTIF(B5:J5,"")=K2,UPPER(LEFT(K5,1))&amp;RIGHT(K5,LEN(K5)-1),K5))</f>
        <v>#REF!</v>
      </c>
      <c r="L6" s="397" t="e">
        <f>IF(L5="","",IF(COUNTIF(B5:K5,"")=L2,UPPER(LEFT(L5,1))&amp;RIGHT(L5,LEN(L5)-1),L5))</f>
        <v>#REF!</v>
      </c>
      <c r="M6" s="397" t="e">
        <f>IF(M5="","",IF(COUNTIF(B5:L5,"")=M2,UPPER(LEFT(M5,1))&amp;RIGHT(M5,LEN(M5)-1),M5))</f>
        <v>#REF!</v>
      </c>
      <c r="N6" s="409" t="e">
        <f>IF(N5="","",IF(COUNTIF(B5:M5,"")=N2,UPPER(LEFT(N5,1))&amp;RIGHT(N5,LEN(N5)-1),N5))</f>
        <v>#REF!</v>
      </c>
    </row>
    <row r="7" ht="25.25" customHeight="1" spans="1:14">
      <c r="A7" s="398" t="s">
        <v>653</v>
      </c>
      <c r="B7" s="399" t="e">
        <f>TRIM(C6&amp;" "&amp;D6&amp;" "&amp;E6&amp;" "&amp;F6&amp;" "&amp;G6&amp;" "&amp;H6&amp;" "&amp;I6&amp;" "&amp;J6&amp;" "&amp;K6&amp;" "&amp;L6&amp;" "&amp;M6&amp;" "&amp;N6)</f>
        <v>#REF!</v>
      </c>
      <c r="C7" s="400"/>
      <c r="D7" s="400"/>
      <c r="E7" s="400"/>
      <c r="F7" s="400"/>
      <c r="G7" s="400"/>
      <c r="H7" s="400"/>
      <c r="I7" s="400"/>
      <c r="J7" s="400"/>
      <c r="K7" s="400"/>
      <c r="L7" s="400"/>
      <c r="M7" s="400"/>
      <c r="N7" s="410"/>
    </row>
    <row r="12" spans="2:2">
      <c r="B12" s="401"/>
    </row>
    <row r="13" spans="2:2">
      <c r="B13" s="401"/>
    </row>
  </sheetData>
  <sheetProtection formatCells="0" formatColumns="0" formatRows="0" insertRows="0" insertColumns="0" insertHyperlinks="0" deleteColumns="0" deleteRows="0" sort="0" autoFilter="0" pivotTables="0"/>
  <mergeCells count="1">
    <mergeCell ref="C1:E1"/>
  </mergeCells>
  <dataValidations count="4">
    <dataValidation type="list" allowBlank="1" showInputMessage="1" showErrorMessage="1" sqref="D4 G4 J4 M4">
      <formula1>"linh, lẻ"</formula1>
    </dataValidation>
    <dataValidation type="list" allowBlank="1" showInputMessage="1" showErrorMessage="1" sqref="E4">
      <formula1>"tỉ, tỷ"</formula1>
    </dataValidation>
    <dataValidation type="list" allowBlank="1" showInputMessage="1" showErrorMessage="1" sqref="K4">
      <formula1>"nghìn, ngàn"</formula1>
    </dataValidation>
    <dataValidation type="list" allowBlank="1" showInputMessage="1" showErrorMessage="1" sqref="N4">
      <formula1>"đồng, đô la mỹ, euro, yên, frăng, bạt"</formula1>
    </dataValidation>
  </dataValidations>
  <pageMargins left="0.7" right="0.7" top="0.75" bottom="0.75" header="0.3" footer="0.3"/>
  <pageSetup paperSize="1"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4"/>
  <sheetViews>
    <sheetView zoomScale="90" zoomScaleNormal="90" topLeftCell="B1" workbookViewId="0">
      <selection activeCell="D3" sqref="D3"/>
    </sheetView>
  </sheetViews>
  <sheetFormatPr defaultColWidth="9" defaultRowHeight="13.5"/>
  <cols>
    <col min="1" max="2" width="9" style="4"/>
    <col min="3" max="4" width="58" style="4" customWidth="1"/>
    <col min="5" max="16384" width="9" style="4"/>
  </cols>
  <sheetData>
    <row r="1" ht="14.25" customHeight="1" spans="1:20">
      <c r="A1" s="352" t="s">
        <v>654</v>
      </c>
      <c r="B1" s="352"/>
      <c r="C1" s="352"/>
      <c r="D1" s="353"/>
      <c r="E1" s="354"/>
      <c r="F1" s="354"/>
      <c r="G1" s="354"/>
      <c r="H1" s="354"/>
      <c r="I1" s="354"/>
      <c r="J1" s="354"/>
      <c r="K1" s="354"/>
      <c r="L1" s="354"/>
      <c r="M1" s="354"/>
      <c r="N1" s="354"/>
      <c r="O1" s="354"/>
      <c r="P1" s="354"/>
      <c r="Q1" s="354"/>
      <c r="R1" s="354"/>
      <c r="S1" s="354"/>
      <c r="T1" s="354"/>
    </row>
    <row r="2" ht="89.25" spans="1:20">
      <c r="A2" s="355" t="s">
        <v>655</v>
      </c>
      <c r="B2" s="356"/>
      <c r="C2" s="357" t="s">
        <v>656</v>
      </c>
      <c r="D2" s="358" t="s">
        <v>657</v>
      </c>
      <c r="E2" s="354"/>
      <c r="F2" s="354"/>
      <c r="G2" s="354"/>
      <c r="H2" s="354"/>
      <c r="I2" s="354"/>
      <c r="J2" s="354"/>
      <c r="K2" s="354"/>
      <c r="L2" s="354"/>
      <c r="M2" s="354"/>
      <c r="N2" s="354"/>
      <c r="O2" s="354"/>
      <c r="P2" s="354"/>
      <c r="Q2" s="354"/>
      <c r="R2" s="354"/>
      <c r="S2" s="354"/>
      <c r="T2" s="354"/>
    </row>
    <row r="3" ht="135" customHeight="1" spans="1:20">
      <c r="A3" s="359" t="s">
        <v>658</v>
      </c>
      <c r="B3" s="360" t="s">
        <v>659</v>
      </c>
      <c r="C3" s="361" t="s">
        <v>660</v>
      </c>
      <c r="D3" s="362" t="s">
        <v>661</v>
      </c>
      <c r="E3" s="363"/>
      <c r="F3" s="354"/>
      <c r="G3" s="354"/>
      <c r="H3" s="354"/>
      <c r="I3" s="354"/>
      <c r="J3" s="354"/>
      <c r="K3" s="354"/>
      <c r="L3" s="354"/>
      <c r="M3" s="354"/>
      <c r="N3" s="354"/>
      <c r="O3" s="354"/>
      <c r="P3" s="354"/>
      <c r="Q3" s="354"/>
      <c r="R3" s="354"/>
      <c r="S3" s="354"/>
      <c r="T3" s="354"/>
    </row>
    <row r="4" ht="135" customHeight="1" spans="1:20">
      <c r="A4" s="359"/>
      <c r="B4" s="361" t="s">
        <v>662</v>
      </c>
      <c r="C4" s="361" t="s">
        <v>663</v>
      </c>
      <c r="D4" s="362" t="s">
        <v>664</v>
      </c>
      <c r="E4" s="363"/>
      <c r="F4" s="354"/>
      <c r="G4" s="354"/>
      <c r="H4" s="354"/>
      <c r="I4" s="354"/>
      <c r="J4" s="354"/>
      <c r="K4" s="354"/>
      <c r="L4" s="354"/>
      <c r="M4" s="354"/>
      <c r="N4" s="354"/>
      <c r="O4" s="354"/>
      <c r="P4" s="354"/>
      <c r="Q4" s="354"/>
      <c r="R4" s="354"/>
      <c r="S4" s="354"/>
      <c r="T4" s="354"/>
    </row>
    <row r="5" ht="135" customHeight="1" spans="1:20">
      <c r="A5" s="359"/>
      <c r="B5" s="361" t="s">
        <v>662</v>
      </c>
      <c r="C5" s="361" t="s">
        <v>665</v>
      </c>
      <c r="D5" s="362" t="s">
        <v>666</v>
      </c>
      <c r="E5" s="363"/>
      <c r="F5" s="354"/>
      <c r="G5" s="354"/>
      <c r="H5" s="354"/>
      <c r="I5" s="354"/>
      <c r="J5" s="354"/>
      <c r="K5" s="354"/>
      <c r="L5" s="354"/>
      <c r="M5" s="354"/>
      <c r="N5" s="354"/>
      <c r="O5" s="354"/>
      <c r="P5" s="354"/>
      <c r="Q5" s="354"/>
      <c r="R5" s="354"/>
      <c r="S5" s="354"/>
      <c r="T5" s="354"/>
    </row>
    <row r="6" ht="63.75" spans="1:20">
      <c r="A6" s="364" t="s">
        <v>667</v>
      </c>
      <c r="B6" s="365" t="s">
        <v>668</v>
      </c>
      <c r="C6" s="366" t="s">
        <v>669</v>
      </c>
      <c r="D6" s="367" t="s">
        <v>670</v>
      </c>
      <c r="E6" s="354"/>
      <c r="F6" s="354"/>
      <c r="G6" s="354"/>
      <c r="H6" s="354"/>
      <c r="I6" s="354"/>
      <c r="J6" s="354"/>
      <c r="K6" s="354"/>
      <c r="L6" s="354"/>
      <c r="M6" s="354"/>
      <c r="N6" s="354"/>
      <c r="O6" s="354"/>
      <c r="P6" s="354"/>
      <c r="Q6" s="354"/>
      <c r="R6" s="354"/>
      <c r="S6" s="354"/>
      <c r="T6" s="354"/>
    </row>
    <row r="7" ht="63.75" spans="1:20">
      <c r="A7" s="364"/>
      <c r="B7" s="365" t="s">
        <v>671</v>
      </c>
      <c r="C7" s="366" t="s">
        <v>672</v>
      </c>
      <c r="D7" s="367" t="s">
        <v>673</v>
      </c>
      <c r="E7" s="354"/>
      <c r="F7" s="354"/>
      <c r="G7" s="354"/>
      <c r="H7" s="354"/>
      <c r="I7" s="354"/>
      <c r="J7" s="354"/>
      <c r="K7" s="354"/>
      <c r="L7" s="354"/>
      <c r="M7" s="354"/>
      <c r="N7" s="354"/>
      <c r="O7" s="354"/>
      <c r="P7" s="354"/>
      <c r="Q7" s="354"/>
      <c r="R7" s="354"/>
      <c r="S7" s="354"/>
      <c r="T7" s="354"/>
    </row>
    <row r="8" ht="63.75" spans="1:20">
      <c r="A8" s="364"/>
      <c r="B8" s="366" t="s">
        <v>674</v>
      </c>
      <c r="C8" s="366" t="s">
        <v>675</v>
      </c>
      <c r="D8" s="367" t="s">
        <v>676</v>
      </c>
      <c r="E8" s="354"/>
      <c r="F8" s="354"/>
      <c r="G8" s="354"/>
      <c r="H8" s="354"/>
      <c r="I8" s="354"/>
      <c r="J8" s="354"/>
      <c r="K8" s="354"/>
      <c r="L8" s="354"/>
      <c r="M8" s="354"/>
      <c r="N8" s="354"/>
      <c r="O8" s="354"/>
      <c r="P8" s="354"/>
      <c r="Q8" s="354"/>
      <c r="R8" s="354"/>
      <c r="S8" s="354"/>
      <c r="T8" s="354"/>
    </row>
    <row r="9" ht="63.75" spans="1:20">
      <c r="A9" s="364"/>
      <c r="B9" s="365" t="s">
        <v>662</v>
      </c>
      <c r="C9" s="366" t="s">
        <v>677</v>
      </c>
      <c r="D9" s="367" t="s">
        <v>678</v>
      </c>
      <c r="E9" s="354"/>
      <c r="F9" s="354"/>
      <c r="G9" s="354"/>
      <c r="H9" s="354"/>
      <c r="I9" s="354"/>
      <c r="J9" s="354"/>
      <c r="K9" s="354"/>
      <c r="L9" s="354"/>
      <c r="M9" s="354"/>
      <c r="N9" s="354"/>
      <c r="O9" s="354"/>
      <c r="P9" s="354"/>
      <c r="Q9" s="354"/>
      <c r="R9" s="354"/>
      <c r="S9" s="354"/>
      <c r="T9" s="354"/>
    </row>
    <row r="10" ht="117.75" customHeight="1" spans="1:20">
      <c r="A10" s="364"/>
      <c r="B10" s="361" t="s">
        <v>662</v>
      </c>
      <c r="C10" s="360" t="s">
        <v>679</v>
      </c>
      <c r="D10" s="368" t="s">
        <v>680</v>
      </c>
      <c r="E10" s="354"/>
      <c r="F10" s="354"/>
      <c r="G10" s="354"/>
      <c r="H10" s="354"/>
      <c r="I10" s="354"/>
      <c r="J10" s="354"/>
      <c r="K10" s="354"/>
      <c r="L10" s="354"/>
      <c r="M10" s="354"/>
      <c r="N10" s="354"/>
      <c r="O10" s="354"/>
      <c r="P10" s="354"/>
      <c r="Q10" s="354"/>
      <c r="R10" s="354"/>
      <c r="S10" s="354"/>
      <c r="T10" s="354"/>
    </row>
    <row r="11" ht="124.5" customHeight="1" spans="1:20">
      <c r="A11" s="364"/>
      <c r="B11" s="361" t="s">
        <v>662</v>
      </c>
      <c r="C11" s="360" t="s">
        <v>681</v>
      </c>
      <c r="D11" s="368" t="s">
        <v>682</v>
      </c>
      <c r="E11" s="354"/>
      <c r="F11" s="354"/>
      <c r="G11" s="354"/>
      <c r="H11" s="354"/>
      <c r="I11" s="354"/>
      <c r="J11" s="354"/>
      <c r="K11" s="354"/>
      <c r="L11" s="354"/>
      <c r="M11" s="354"/>
      <c r="N11" s="354"/>
      <c r="O11" s="354"/>
      <c r="P11" s="354"/>
      <c r="Q11" s="354"/>
      <c r="R11" s="354"/>
      <c r="S11" s="354"/>
      <c r="T11" s="354"/>
    </row>
    <row r="12" ht="111" customHeight="1" spans="1:20">
      <c r="A12" s="364"/>
      <c r="B12" s="365" t="s">
        <v>683</v>
      </c>
      <c r="C12" s="366" t="s">
        <v>684</v>
      </c>
      <c r="D12" s="367" t="s">
        <v>685</v>
      </c>
      <c r="E12" s="354"/>
      <c r="F12" s="354"/>
      <c r="G12" s="354"/>
      <c r="H12" s="354"/>
      <c r="I12" s="354"/>
      <c r="J12" s="354"/>
      <c r="K12" s="354"/>
      <c r="L12" s="354"/>
      <c r="M12" s="354"/>
      <c r="N12" s="354"/>
      <c r="O12" s="354"/>
      <c r="P12" s="354"/>
      <c r="Q12" s="354"/>
      <c r="R12" s="354"/>
      <c r="S12" s="354"/>
      <c r="T12" s="354"/>
    </row>
    <row r="13" ht="24.75" spans="1:20">
      <c r="A13" s="364"/>
      <c r="B13" s="369"/>
      <c r="C13" s="369" t="s">
        <v>686</v>
      </c>
      <c r="D13" s="370" t="s">
        <v>52</v>
      </c>
      <c r="E13" s="354"/>
      <c r="F13" s="354"/>
      <c r="G13" s="354"/>
      <c r="H13" s="354"/>
      <c r="I13" s="354"/>
      <c r="J13" s="354"/>
      <c r="K13" s="354"/>
      <c r="L13" s="354"/>
      <c r="M13" s="354"/>
      <c r="N13" s="354"/>
      <c r="O13" s="354"/>
      <c r="P13" s="354"/>
      <c r="Q13" s="354"/>
      <c r="R13" s="354"/>
      <c r="S13" s="354"/>
      <c r="T13" s="354"/>
    </row>
    <row r="14" ht="174.75" spans="1:20">
      <c r="A14" s="364"/>
      <c r="B14" s="361" t="s">
        <v>662</v>
      </c>
      <c r="C14" s="369"/>
      <c r="D14" s="370" t="s">
        <v>209</v>
      </c>
      <c r="E14" s="354"/>
      <c r="F14" s="354"/>
      <c r="G14" s="354"/>
      <c r="H14" s="354"/>
      <c r="I14" s="354"/>
      <c r="J14" s="354"/>
      <c r="K14" s="354"/>
      <c r="L14" s="354"/>
      <c r="M14" s="354"/>
      <c r="N14" s="354"/>
      <c r="O14" s="354"/>
      <c r="P14" s="354"/>
      <c r="Q14" s="354"/>
      <c r="R14" s="354"/>
      <c r="S14" s="354"/>
      <c r="T14" s="354"/>
    </row>
    <row r="15" ht="259.5" spans="1:20">
      <c r="A15" s="369"/>
      <c r="B15" s="361" t="s">
        <v>662</v>
      </c>
      <c r="C15" s="369"/>
      <c r="D15" s="371" t="s">
        <v>389</v>
      </c>
      <c r="E15" s="354"/>
      <c r="F15" s="354"/>
      <c r="G15" s="354"/>
      <c r="H15" s="354"/>
      <c r="I15" s="354"/>
      <c r="J15" s="354"/>
      <c r="K15" s="354"/>
      <c r="L15" s="354"/>
      <c r="M15" s="354"/>
      <c r="N15" s="354"/>
      <c r="O15" s="354"/>
      <c r="P15" s="354"/>
      <c r="Q15" s="354"/>
      <c r="R15" s="354"/>
      <c r="S15" s="354"/>
      <c r="T15" s="354"/>
    </row>
    <row r="16" ht="49.5" spans="1:20">
      <c r="A16" s="369"/>
      <c r="B16" s="361" t="s">
        <v>662</v>
      </c>
      <c r="C16" s="369"/>
      <c r="D16" s="372" t="s">
        <v>687</v>
      </c>
      <c r="E16" s="354"/>
      <c r="F16" s="354"/>
      <c r="G16" s="354"/>
      <c r="H16" s="354"/>
      <c r="I16" s="354"/>
      <c r="J16" s="354"/>
      <c r="K16" s="354"/>
      <c r="L16" s="354"/>
      <c r="M16" s="354"/>
      <c r="N16" s="354"/>
      <c r="O16" s="354"/>
      <c r="P16" s="354"/>
      <c r="Q16" s="354"/>
      <c r="R16" s="354"/>
      <c r="S16" s="354"/>
      <c r="T16" s="354"/>
    </row>
    <row r="17" ht="50.25" spans="1:20">
      <c r="A17" s="373"/>
      <c r="B17" s="374" t="s">
        <v>662</v>
      </c>
      <c r="C17" s="373"/>
      <c r="D17" s="375" t="s">
        <v>580</v>
      </c>
      <c r="E17" s="354"/>
      <c r="F17" s="354"/>
      <c r="G17" s="354"/>
      <c r="H17" s="354"/>
      <c r="I17" s="354"/>
      <c r="J17" s="354"/>
      <c r="K17" s="354"/>
      <c r="L17" s="354"/>
      <c r="M17" s="354"/>
      <c r="N17" s="354"/>
      <c r="O17" s="354"/>
      <c r="P17" s="354"/>
      <c r="Q17" s="354"/>
      <c r="R17" s="354"/>
      <c r="S17" s="354"/>
      <c r="T17" s="354"/>
    </row>
    <row r="18" spans="1:20">
      <c r="A18" s="354"/>
      <c r="B18" s="354"/>
      <c r="C18" s="354"/>
      <c r="D18" s="354"/>
      <c r="E18" s="354"/>
      <c r="F18" s="354"/>
      <c r="G18" s="354"/>
      <c r="H18" s="354"/>
      <c r="I18" s="354"/>
      <c r="J18" s="354"/>
      <c r="K18" s="354"/>
      <c r="L18" s="354"/>
      <c r="M18" s="354"/>
      <c r="N18" s="354"/>
      <c r="O18" s="354"/>
      <c r="P18" s="354"/>
      <c r="Q18" s="354"/>
      <c r="R18" s="354"/>
      <c r="S18" s="354"/>
      <c r="T18" s="354"/>
    </row>
    <row r="19" spans="1:20">
      <c r="A19" s="354"/>
      <c r="B19" s="354"/>
      <c r="C19" s="354"/>
      <c r="D19" s="354"/>
      <c r="E19" s="354"/>
      <c r="F19" s="354"/>
      <c r="G19" s="354"/>
      <c r="H19" s="354"/>
      <c r="I19" s="354"/>
      <c r="J19" s="354"/>
      <c r="K19" s="354"/>
      <c r="L19" s="354"/>
      <c r="M19" s="354"/>
      <c r="N19" s="354"/>
      <c r="O19" s="354"/>
      <c r="P19" s="354"/>
      <c r="Q19" s="354"/>
      <c r="R19" s="354"/>
      <c r="S19" s="354"/>
      <c r="T19" s="354"/>
    </row>
    <row r="20" spans="1:20">
      <c r="A20" s="354"/>
      <c r="B20" s="354"/>
      <c r="C20" s="354"/>
      <c r="D20" s="354"/>
      <c r="E20" s="354"/>
      <c r="F20" s="354"/>
      <c r="G20" s="354"/>
      <c r="H20" s="354"/>
      <c r="I20" s="354"/>
      <c r="J20" s="354"/>
      <c r="K20" s="354"/>
      <c r="L20" s="354"/>
      <c r="M20" s="354"/>
      <c r="N20" s="354"/>
      <c r="O20" s="354"/>
      <c r="P20" s="354"/>
      <c r="Q20" s="354"/>
      <c r="R20" s="354"/>
      <c r="S20" s="354"/>
      <c r="T20" s="354"/>
    </row>
    <row r="21" spans="1:20">
      <c r="A21" s="354"/>
      <c r="B21" s="354"/>
      <c r="C21" s="354"/>
      <c r="D21" s="354"/>
      <c r="E21" s="354"/>
      <c r="F21" s="354"/>
      <c r="G21" s="354"/>
      <c r="H21" s="354"/>
      <c r="I21" s="354"/>
      <c r="J21" s="354"/>
      <c r="K21" s="354"/>
      <c r="L21" s="354"/>
      <c r="M21" s="354"/>
      <c r="N21" s="354"/>
      <c r="O21" s="354"/>
      <c r="P21" s="354"/>
      <c r="Q21" s="354"/>
      <c r="R21" s="354"/>
      <c r="S21" s="354"/>
      <c r="T21" s="354"/>
    </row>
    <row r="22" spans="1:20">
      <c r="A22" s="354"/>
      <c r="B22" s="354"/>
      <c r="C22" s="354"/>
      <c r="D22" s="354"/>
      <c r="E22" s="354"/>
      <c r="F22" s="354"/>
      <c r="G22" s="354"/>
      <c r="H22" s="354"/>
      <c r="I22" s="354"/>
      <c r="J22" s="354"/>
      <c r="K22" s="354"/>
      <c r="L22" s="354"/>
      <c r="M22" s="354"/>
      <c r="N22" s="354"/>
      <c r="O22" s="354"/>
      <c r="P22" s="354"/>
      <c r="Q22" s="354"/>
      <c r="R22" s="354"/>
      <c r="S22" s="354"/>
      <c r="T22" s="354"/>
    </row>
    <row r="23" spans="1:20">
      <c r="A23" s="354"/>
      <c r="B23" s="354"/>
      <c r="C23" s="354"/>
      <c r="D23" s="354"/>
      <c r="E23" s="354"/>
      <c r="F23" s="354"/>
      <c r="G23" s="354"/>
      <c r="H23" s="354"/>
      <c r="I23" s="354"/>
      <c r="J23" s="354"/>
      <c r="K23" s="354"/>
      <c r="L23" s="354"/>
      <c r="M23" s="354"/>
      <c r="N23" s="354"/>
      <c r="O23" s="354"/>
      <c r="P23" s="354"/>
      <c r="Q23" s="354"/>
      <c r="R23" s="354"/>
      <c r="S23" s="354"/>
      <c r="T23" s="354"/>
    </row>
    <row r="24" spans="1:20">
      <c r="A24" s="354"/>
      <c r="B24" s="354"/>
      <c r="C24" s="354"/>
      <c r="D24" s="354"/>
      <c r="E24" s="354"/>
      <c r="F24" s="354"/>
      <c r="G24" s="354"/>
      <c r="H24" s="354"/>
      <c r="I24" s="354"/>
      <c r="J24" s="354"/>
      <c r="K24" s="354"/>
      <c r="L24" s="354"/>
      <c r="M24" s="354"/>
      <c r="N24" s="354"/>
      <c r="O24" s="354"/>
      <c r="P24" s="354"/>
      <c r="Q24" s="354"/>
      <c r="R24" s="354"/>
      <c r="S24" s="354"/>
      <c r="T24" s="354"/>
    </row>
    <row r="25" spans="1:20">
      <c r="A25" s="354"/>
      <c r="B25" s="354"/>
      <c r="C25" s="354"/>
      <c r="D25" s="354"/>
      <c r="E25" s="354"/>
      <c r="F25" s="354"/>
      <c r="G25" s="354"/>
      <c r="H25" s="354"/>
      <c r="I25" s="354"/>
      <c r="J25" s="354"/>
      <c r="K25" s="354"/>
      <c r="L25" s="354"/>
      <c r="M25" s="354"/>
      <c r="N25" s="354"/>
      <c r="O25" s="354"/>
      <c r="P25" s="354"/>
      <c r="Q25" s="354"/>
      <c r="R25" s="354"/>
      <c r="S25" s="354"/>
      <c r="T25" s="354"/>
    </row>
    <row r="26" spans="1:20">
      <c r="A26" s="354"/>
      <c r="B26" s="354"/>
      <c r="C26" s="354"/>
      <c r="D26" s="354"/>
      <c r="E26" s="354"/>
      <c r="F26" s="354"/>
      <c r="G26" s="354"/>
      <c r="H26" s="354"/>
      <c r="I26" s="354"/>
      <c r="J26" s="354"/>
      <c r="K26" s="354"/>
      <c r="L26" s="354"/>
      <c r="M26" s="354"/>
      <c r="N26" s="354"/>
      <c r="O26" s="354"/>
      <c r="P26" s="354"/>
      <c r="Q26" s="354"/>
      <c r="R26" s="354"/>
      <c r="S26" s="354"/>
      <c r="T26" s="354"/>
    </row>
    <row r="27" spans="1:20">
      <c r="A27" s="354"/>
      <c r="B27" s="354"/>
      <c r="C27" s="354"/>
      <c r="D27" s="354"/>
      <c r="E27" s="354"/>
      <c r="F27" s="354"/>
      <c r="G27" s="354"/>
      <c r="H27" s="354"/>
      <c r="I27" s="354"/>
      <c r="J27" s="354"/>
      <c r="K27" s="354"/>
      <c r="L27" s="354"/>
      <c r="M27" s="354"/>
      <c r="N27" s="354"/>
      <c r="O27" s="354"/>
      <c r="P27" s="354"/>
      <c r="Q27" s="354"/>
      <c r="R27" s="354"/>
      <c r="S27" s="354"/>
      <c r="T27" s="354"/>
    </row>
    <row r="28" spans="1:20">
      <c r="A28" s="354"/>
      <c r="B28" s="354"/>
      <c r="C28" s="354"/>
      <c r="D28" s="354"/>
      <c r="E28" s="354"/>
      <c r="F28" s="354"/>
      <c r="G28" s="354"/>
      <c r="H28" s="354"/>
      <c r="I28" s="354"/>
      <c r="J28" s="354"/>
      <c r="K28" s="354"/>
      <c r="L28" s="354"/>
      <c r="M28" s="354"/>
      <c r="N28" s="354"/>
      <c r="O28" s="354"/>
      <c r="P28" s="354"/>
      <c r="Q28" s="354"/>
      <c r="R28" s="354"/>
      <c r="S28" s="354"/>
      <c r="T28" s="354"/>
    </row>
    <row r="29" spans="1:20">
      <c r="A29" s="354"/>
      <c r="B29" s="354"/>
      <c r="C29" s="354"/>
      <c r="D29" s="354"/>
      <c r="E29" s="354"/>
      <c r="F29" s="354"/>
      <c r="G29" s="354"/>
      <c r="H29" s="354"/>
      <c r="I29" s="354"/>
      <c r="J29" s="354"/>
      <c r="K29" s="354"/>
      <c r="L29" s="354"/>
      <c r="M29" s="354"/>
      <c r="N29" s="354"/>
      <c r="O29" s="354"/>
      <c r="P29" s="354"/>
      <c r="Q29" s="354"/>
      <c r="R29" s="354"/>
      <c r="S29" s="354"/>
      <c r="T29" s="354"/>
    </row>
    <row r="30" spans="1:20">
      <c r="A30" s="354"/>
      <c r="B30" s="354"/>
      <c r="C30" s="354"/>
      <c r="D30" s="354"/>
      <c r="E30" s="354"/>
      <c r="F30" s="354"/>
      <c r="G30" s="354"/>
      <c r="H30" s="354"/>
      <c r="I30" s="354"/>
      <c r="J30" s="354"/>
      <c r="K30" s="354"/>
      <c r="L30" s="354"/>
      <c r="M30" s="354"/>
      <c r="N30" s="354"/>
      <c r="O30" s="354"/>
      <c r="P30" s="354"/>
      <c r="Q30" s="354"/>
      <c r="R30" s="354"/>
      <c r="S30" s="354"/>
      <c r="T30" s="354"/>
    </row>
    <row r="31" spans="1:20">
      <c r="A31" s="354"/>
      <c r="B31" s="354"/>
      <c r="C31" s="354"/>
      <c r="D31" s="354"/>
      <c r="E31" s="354"/>
      <c r="F31" s="354"/>
      <c r="G31" s="354"/>
      <c r="H31" s="354"/>
      <c r="I31" s="354"/>
      <c r="J31" s="354"/>
      <c r="K31" s="354"/>
      <c r="L31" s="354"/>
      <c r="M31" s="354"/>
      <c r="N31" s="354"/>
      <c r="O31" s="354"/>
      <c r="P31" s="354"/>
      <c r="Q31" s="354"/>
      <c r="R31" s="354"/>
      <c r="S31" s="354"/>
      <c r="T31" s="354"/>
    </row>
    <row r="32" spans="1:20">
      <c r="A32" s="354"/>
      <c r="B32" s="354"/>
      <c r="C32" s="354"/>
      <c r="D32" s="354"/>
      <c r="E32" s="354"/>
      <c r="F32" s="354"/>
      <c r="G32" s="354"/>
      <c r="H32" s="354"/>
      <c r="I32" s="354"/>
      <c r="J32" s="354"/>
      <c r="K32" s="354"/>
      <c r="L32" s="354"/>
      <c r="M32" s="354"/>
      <c r="N32" s="354"/>
      <c r="O32" s="354"/>
      <c r="P32" s="354"/>
      <c r="Q32" s="354"/>
      <c r="R32" s="354"/>
      <c r="S32" s="354"/>
      <c r="T32" s="354"/>
    </row>
    <row r="33" spans="1:20">
      <c r="A33" s="354"/>
      <c r="B33" s="354"/>
      <c r="C33" s="354"/>
      <c r="D33" s="354"/>
      <c r="E33" s="354"/>
      <c r="F33" s="354"/>
      <c r="G33" s="354"/>
      <c r="H33" s="354"/>
      <c r="I33" s="354"/>
      <c r="J33" s="354"/>
      <c r="K33" s="354"/>
      <c r="L33" s="354"/>
      <c r="M33" s="354"/>
      <c r="N33" s="354"/>
      <c r="O33" s="354"/>
      <c r="P33" s="354"/>
      <c r="Q33" s="354"/>
      <c r="R33" s="354"/>
      <c r="S33" s="354"/>
      <c r="T33" s="354"/>
    </row>
    <row r="34" spans="1:20">
      <c r="A34" s="354"/>
      <c r="B34" s="354"/>
      <c r="C34" s="354"/>
      <c r="D34" s="354"/>
      <c r="E34" s="354"/>
      <c r="F34" s="354"/>
      <c r="G34" s="354"/>
      <c r="H34" s="354"/>
      <c r="I34" s="354"/>
      <c r="J34" s="354"/>
      <c r="K34" s="354"/>
      <c r="L34" s="354"/>
      <c r="M34" s="354"/>
      <c r="N34" s="354"/>
      <c r="O34" s="354"/>
      <c r="P34" s="354"/>
      <c r="Q34" s="354"/>
      <c r="R34" s="354"/>
      <c r="S34" s="354"/>
      <c r="T34" s="354"/>
    </row>
    <row r="35" spans="1:20">
      <c r="A35" s="354"/>
      <c r="B35" s="354"/>
      <c r="C35" s="354"/>
      <c r="D35" s="354"/>
      <c r="E35" s="354"/>
      <c r="F35" s="354"/>
      <c r="G35" s="354"/>
      <c r="H35" s="354"/>
      <c r="I35" s="354"/>
      <c r="J35" s="354"/>
      <c r="K35" s="354"/>
      <c r="L35" s="354"/>
      <c r="M35" s="354"/>
      <c r="N35" s="354"/>
      <c r="O35" s="354"/>
      <c r="P35" s="354"/>
      <c r="Q35" s="354"/>
      <c r="R35" s="354"/>
      <c r="S35" s="354"/>
      <c r="T35" s="354"/>
    </row>
    <row r="36" spans="1:20">
      <c r="A36" s="354"/>
      <c r="B36" s="354"/>
      <c r="C36" s="354"/>
      <c r="D36" s="354"/>
      <c r="E36" s="354"/>
      <c r="F36" s="354"/>
      <c r="G36" s="354"/>
      <c r="H36" s="354"/>
      <c r="I36" s="354"/>
      <c r="J36" s="354"/>
      <c r="K36" s="354"/>
      <c r="L36" s="354"/>
      <c r="M36" s="354"/>
      <c r="N36" s="354"/>
      <c r="O36" s="354"/>
      <c r="P36" s="354"/>
      <c r="Q36" s="354"/>
      <c r="R36" s="354"/>
      <c r="S36" s="354"/>
      <c r="T36" s="354"/>
    </row>
    <row r="37" spans="1:20">
      <c r="A37" s="354"/>
      <c r="B37" s="354"/>
      <c r="C37" s="354"/>
      <c r="D37" s="354"/>
      <c r="E37" s="354"/>
      <c r="F37" s="354"/>
      <c r="G37" s="354"/>
      <c r="H37" s="354"/>
      <c r="I37" s="354"/>
      <c r="J37" s="354"/>
      <c r="K37" s="354"/>
      <c r="L37" s="354"/>
      <c r="M37" s="354"/>
      <c r="N37" s="354"/>
      <c r="O37" s="354"/>
      <c r="P37" s="354"/>
      <c r="Q37" s="354"/>
      <c r="R37" s="354"/>
      <c r="S37" s="354"/>
      <c r="T37" s="354"/>
    </row>
    <row r="38" spans="1:20">
      <c r="A38" s="354"/>
      <c r="B38" s="354"/>
      <c r="C38" s="354"/>
      <c r="D38" s="354"/>
      <c r="E38" s="354"/>
      <c r="F38" s="354"/>
      <c r="G38" s="354"/>
      <c r="H38" s="354"/>
      <c r="I38" s="354"/>
      <c r="J38" s="354"/>
      <c r="K38" s="354"/>
      <c r="L38" s="354"/>
      <c r="M38" s="354"/>
      <c r="N38" s="354"/>
      <c r="O38" s="354"/>
      <c r="P38" s="354"/>
      <c r="Q38" s="354"/>
      <c r="R38" s="354"/>
      <c r="S38" s="354"/>
      <c r="T38" s="354"/>
    </row>
    <row r="39" spans="1:20">
      <c r="A39" s="354"/>
      <c r="B39" s="354"/>
      <c r="C39" s="354"/>
      <c r="D39" s="354"/>
      <c r="E39" s="354"/>
      <c r="F39" s="354"/>
      <c r="G39" s="354"/>
      <c r="H39" s="354"/>
      <c r="I39" s="354"/>
      <c r="J39" s="354"/>
      <c r="K39" s="354"/>
      <c r="L39" s="354"/>
      <c r="M39" s="354"/>
      <c r="N39" s="354"/>
      <c r="O39" s="354"/>
      <c r="P39" s="354"/>
      <c r="Q39" s="354"/>
      <c r="R39" s="354"/>
      <c r="S39" s="354"/>
      <c r="T39" s="354"/>
    </row>
    <row r="40" spans="1:20">
      <c r="A40" s="354"/>
      <c r="B40" s="354"/>
      <c r="C40" s="354"/>
      <c r="D40" s="354"/>
      <c r="E40" s="354"/>
      <c r="F40" s="354"/>
      <c r="G40" s="354"/>
      <c r="H40" s="354"/>
      <c r="I40" s="354"/>
      <c r="J40" s="354"/>
      <c r="K40" s="354"/>
      <c r="L40" s="354"/>
      <c r="M40" s="354"/>
      <c r="N40" s="354"/>
      <c r="O40" s="354"/>
      <c r="P40" s="354"/>
      <c r="Q40" s="354"/>
      <c r="R40" s="354"/>
      <c r="S40" s="354"/>
      <c r="T40" s="354"/>
    </row>
    <row r="41" spans="1:20">
      <c r="A41" s="354"/>
      <c r="B41" s="354"/>
      <c r="C41" s="354"/>
      <c r="D41" s="354"/>
      <c r="E41" s="354"/>
      <c r="F41" s="354"/>
      <c r="G41" s="354"/>
      <c r="H41" s="354"/>
      <c r="I41" s="354"/>
      <c r="J41" s="354"/>
      <c r="K41" s="354"/>
      <c r="L41" s="354"/>
      <c r="M41" s="354"/>
      <c r="N41" s="354"/>
      <c r="O41" s="354"/>
      <c r="P41" s="354"/>
      <c r="Q41" s="354"/>
      <c r="R41" s="354"/>
      <c r="S41" s="354"/>
      <c r="T41" s="354"/>
    </row>
    <row r="42" spans="1:20">
      <c r="A42" s="354"/>
      <c r="B42" s="354"/>
      <c r="C42" s="354"/>
      <c r="D42" s="354"/>
      <c r="E42" s="354"/>
      <c r="F42" s="354"/>
      <c r="G42" s="354"/>
      <c r="H42" s="354"/>
      <c r="I42" s="354"/>
      <c r="J42" s="354"/>
      <c r="K42" s="354"/>
      <c r="L42" s="354"/>
      <c r="M42" s="354"/>
      <c r="N42" s="354"/>
      <c r="O42" s="354"/>
      <c r="P42" s="354"/>
      <c r="Q42" s="354"/>
      <c r="R42" s="354"/>
      <c r="S42" s="354"/>
      <c r="T42" s="354"/>
    </row>
    <row r="43" spans="1:20">
      <c r="A43" s="354"/>
      <c r="B43" s="354"/>
      <c r="C43" s="354"/>
      <c r="D43" s="354"/>
      <c r="E43" s="354"/>
      <c r="F43" s="354"/>
      <c r="G43" s="354"/>
      <c r="H43" s="354"/>
      <c r="I43" s="354"/>
      <c r="J43" s="354"/>
      <c r="K43" s="354"/>
      <c r="L43" s="354"/>
      <c r="M43" s="354"/>
      <c r="N43" s="354"/>
      <c r="O43" s="354"/>
      <c r="P43" s="354"/>
      <c r="Q43" s="354"/>
      <c r="R43" s="354"/>
      <c r="S43" s="354"/>
      <c r="T43" s="354"/>
    </row>
    <row r="44" spans="1:20">
      <c r="A44" s="354"/>
      <c r="B44" s="354"/>
      <c r="C44" s="354"/>
      <c r="D44" s="354"/>
      <c r="E44" s="354"/>
      <c r="F44" s="354"/>
      <c r="G44" s="354"/>
      <c r="H44" s="354"/>
      <c r="I44" s="354"/>
      <c r="J44" s="354"/>
      <c r="K44" s="354"/>
      <c r="L44" s="354"/>
      <c r="M44" s="354"/>
      <c r="N44" s="354"/>
      <c r="O44" s="354"/>
      <c r="P44" s="354"/>
      <c r="Q44" s="354"/>
      <c r="R44" s="354"/>
      <c r="S44" s="354"/>
      <c r="T44" s="354"/>
    </row>
    <row r="45" spans="1:20">
      <c r="A45" s="354"/>
      <c r="B45" s="354"/>
      <c r="C45" s="354"/>
      <c r="D45" s="354"/>
      <c r="E45" s="354"/>
      <c r="F45" s="354"/>
      <c r="G45" s="354"/>
      <c r="H45" s="354"/>
      <c r="I45" s="354"/>
      <c r="J45" s="354"/>
      <c r="K45" s="354"/>
      <c r="L45" s="354"/>
      <c r="M45" s="354"/>
      <c r="N45" s="354"/>
      <c r="O45" s="354"/>
      <c r="P45" s="354"/>
      <c r="Q45" s="354"/>
      <c r="R45" s="354"/>
      <c r="S45" s="354"/>
      <c r="T45" s="354"/>
    </row>
    <row r="46" spans="1:20">
      <c r="A46" s="354"/>
      <c r="B46" s="354"/>
      <c r="C46" s="354"/>
      <c r="D46" s="354"/>
      <c r="E46" s="354"/>
      <c r="F46" s="354"/>
      <c r="G46" s="354"/>
      <c r="H46" s="354"/>
      <c r="I46" s="354"/>
      <c r="J46" s="354"/>
      <c r="K46" s="354"/>
      <c r="L46" s="354"/>
      <c r="M46" s="354"/>
      <c r="N46" s="354"/>
      <c r="O46" s="354"/>
      <c r="P46" s="354"/>
      <c r="Q46" s="354"/>
      <c r="R46" s="354"/>
      <c r="S46" s="354"/>
      <c r="T46" s="354"/>
    </row>
    <row r="47" spans="1:20">
      <c r="A47" s="354"/>
      <c r="B47" s="354"/>
      <c r="C47" s="354"/>
      <c r="D47" s="354"/>
      <c r="E47" s="354"/>
      <c r="F47" s="354"/>
      <c r="G47" s="354"/>
      <c r="H47" s="354"/>
      <c r="I47" s="354"/>
      <c r="J47" s="354"/>
      <c r="K47" s="354"/>
      <c r="L47" s="354"/>
      <c r="M47" s="354"/>
      <c r="N47" s="354"/>
      <c r="O47" s="354"/>
      <c r="P47" s="354"/>
      <c r="Q47" s="354"/>
      <c r="R47" s="354"/>
      <c r="S47" s="354"/>
      <c r="T47" s="354"/>
    </row>
    <row r="48" spans="1:20">
      <c r="A48" s="354"/>
      <c r="B48" s="354"/>
      <c r="C48" s="354"/>
      <c r="D48" s="354"/>
      <c r="E48" s="354"/>
      <c r="F48" s="354"/>
      <c r="G48" s="354"/>
      <c r="H48" s="354"/>
      <c r="I48" s="354"/>
      <c r="J48" s="354"/>
      <c r="K48" s="354"/>
      <c r="L48" s="354"/>
      <c r="M48" s="354"/>
      <c r="N48" s="354"/>
      <c r="O48" s="354"/>
      <c r="P48" s="354"/>
      <c r="Q48" s="354"/>
      <c r="R48" s="354"/>
      <c r="S48" s="354"/>
      <c r="T48" s="354"/>
    </row>
    <row r="49" spans="1:20">
      <c r="A49" s="354"/>
      <c r="B49" s="354"/>
      <c r="C49" s="354"/>
      <c r="D49" s="354"/>
      <c r="E49" s="354"/>
      <c r="F49" s="354"/>
      <c r="G49" s="354"/>
      <c r="H49" s="354"/>
      <c r="I49" s="354"/>
      <c r="J49" s="354"/>
      <c r="K49" s="354"/>
      <c r="L49" s="354"/>
      <c r="M49" s="354"/>
      <c r="N49" s="354"/>
      <c r="O49" s="354"/>
      <c r="P49" s="354"/>
      <c r="Q49" s="354"/>
      <c r="R49" s="354"/>
      <c r="S49" s="354"/>
      <c r="T49" s="354"/>
    </row>
    <row r="50" spans="1:20">
      <c r="A50" s="354"/>
      <c r="B50" s="354"/>
      <c r="C50" s="354"/>
      <c r="D50" s="354"/>
      <c r="E50" s="354"/>
      <c r="F50" s="354"/>
      <c r="G50" s="354"/>
      <c r="H50" s="354"/>
      <c r="I50" s="354"/>
      <c r="J50" s="354"/>
      <c r="K50" s="354"/>
      <c r="L50" s="354"/>
      <c r="M50" s="354"/>
      <c r="N50" s="354"/>
      <c r="O50" s="354"/>
      <c r="P50" s="354"/>
      <c r="Q50" s="354"/>
      <c r="R50" s="354"/>
      <c r="S50" s="354"/>
      <c r="T50" s="354"/>
    </row>
    <row r="51" spans="1:20">
      <c r="A51" s="354"/>
      <c r="B51" s="354"/>
      <c r="C51" s="354"/>
      <c r="D51" s="354"/>
      <c r="E51" s="354"/>
      <c r="F51" s="354"/>
      <c r="G51" s="354"/>
      <c r="H51" s="354"/>
      <c r="I51" s="354"/>
      <c r="J51" s="354"/>
      <c r="K51" s="354"/>
      <c r="L51" s="354"/>
      <c r="M51" s="354"/>
      <c r="N51" s="354"/>
      <c r="O51" s="354"/>
      <c r="P51" s="354"/>
      <c r="Q51" s="354"/>
      <c r="R51" s="354"/>
      <c r="S51" s="354"/>
      <c r="T51" s="354"/>
    </row>
    <row r="52" spans="1:20">
      <c r="A52" s="354"/>
      <c r="B52" s="354"/>
      <c r="C52" s="354"/>
      <c r="D52" s="354"/>
      <c r="E52" s="354"/>
      <c r="F52" s="354"/>
      <c r="G52" s="354"/>
      <c r="H52" s="354"/>
      <c r="I52" s="354"/>
      <c r="J52" s="354"/>
      <c r="K52" s="354"/>
      <c r="L52" s="354"/>
      <c r="M52" s="354"/>
      <c r="N52" s="354"/>
      <c r="O52" s="354"/>
      <c r="P52" s="354"/>
      <c r="Q52" s="354"/>
      <c r="R52" s="354"/>
      <c r="S52" s="354"/>
      <c r="T52" s="354"/>
    </row>
    <row r="53" spans="1:20">
      <c r="A53" s="354"/>
      <c r="B53" s="354"/>
      <c r="C53" s="354"/>
      <c r="D53" s="354"/>
      <c r="E53" s="354"/>
      <c r="F53" s="354"/>
      <c r="G53" s="354"/>
      <c r="H53" s="354"/>
      <c r="I53" s="354"/>
      <c r="J53" s="354"/>
      <c r="K53" s="354"/>
      <c r="L53" s="354"/>
      <c r="M53" s="354"/>
      <c r="N53" s="354"/>
      <c r="O53" s="354"/>
      <c r="P53" s="354"/>
      <c r="Q53" s="354"/>
      <c r="R53" s="354"/>
      <c r="S53" s="354"/>
      <c r="T53" s="354"/>
    </row>
    <row r="54" spans="1:20">
      <c r="A54" s="354"/>
      <c r="B54" s="354"/>
      <c r="C54" s="354"/>
      <c r="D54" s="354"/>
      <c r="E54" s="354"/>
      <c r="F54" s="354"/>
      <c r="G54" s="354"/>
      <c r="H54" s="354"/>
      <c r="I54" s="354"/>
      <c r="J54" s="354"/>
      <c r="K54" s="354"/>
      <c r="L54" s="354"/>
      <c r="M54" s="354"/>
      <c r="N54" s="354"/>
      <c r="O54" s="354"/>
      <c r="P54" s="354"/>
      <c r="Q54" s="354"/>
      <c r="R54" s="354"/>
      <c r="S54" s="354"/>
      <c r="T54" s="354"/>
    </row>
    <row r="55" spans="1:20">
      <c r="A55" s="354"/>
      <c r="B55" s="354"/>
      <c r="C55" s="354"/>
      <c r="D55" s="354"/>
      <c r="E55" s="354"/>
      <c r="F55" s="354"/>
      <c r="G55" s="354"/>
      <c r="H55" s="354"/>
      <c r="I55" s="354"/>
      <c r="J55" s="354"/>
      <c r="K55" s="354"/>
      <c r="L55" s="354"/>
      <c r="M55" s="354"/>
      <c r="N55" s="354"/>
      <c r="O55" s="354"/>
      <c r="P55" s="354"/>
      <c r="Q55" s="354"/>
      <c r="R55" s="354"/>
      <c r="S55" s="354"/>
      <c r="T55" s="354"/>
    </row>
    <row r="56" spans="1:20">
      <c r="A56" s="354"/>
      <c r="B56" s="354"/>
      <c r="C56" s="354"/>
      <c r="D56" s="354"/>
      <c r="E56" s="354"/>
      <c r="F56" s="354"/>
      <c r="G56" s="354"/>
      <c r="H56" s="354"/>
      <c r="I56" s="354"/>
      <c r="J56" s="354"/>
      <c r="K56" s="354"/>
      <c r="L56" s="354"/>
      <c r="M56" s="354"/>
      <c r="N56" s="354"/>
      <c r="O56" s="354"/>
      <c r="P56" s="354"/>
      <c r="Q56" s="354"/>
      <c r="R56" s="354"/>
      <c r="S56" s="354"/>
      <c r="T56" s="354"/>
    </row>
    <row r="57" spans="1:20">
      <c r="A57" s="354"/>
      <c r="B57" s="354"/>
      <c r="C57" s="354"/>
      <c r="D57" s="354"/>
      <c r="E57" s="354"/>
      <c r="F57" s="354"/>
      <c r="G57" s="354"/>
      <c r="H57" s="354"/>
      <c r="I57" s="354"/>
      <c r="J57" s="354"/>
      <c r="K57" s="354"/>
      <c r="L57" s="354"/>
      <c r="M57" s="354"/>
      <c r="N57" s="354"/>
      <c r="O57" s="354"/>
      <c r="P57" s="354"/>
      <c r="Q57" s="354"/>
      <c r="R57" s="354"/>
      <c r="S57" s="354"/>
      <c r="T57" s="354"/>
    </row>
    <row r="58" spans="1:20">
      <c r="A58" s="354"/>
      <c r="B58" s="354"/>
      <c r="C58" s="354"/>
      <c r="D58" s="354"/>
      <c r="E58" s="354"/>
      <c r="F58" s="354"/>
      <c r="G58" s="354"/>
      <c r="H58" s="354"/>
      <c r="I58" s="354"/>
      <c r="J58" s="354"/>
      <c r="K58" s="354"/>
      <c r="L58" s="354"/>
      <c r="M58" s="354"/>
      <c r="N58" s="354"/>
      <c r="O58" s="354"/>
      <c r="P58" s="354"/>
      <c r="Q58" s="354"/>
      <c r="R58" s="354"/>
      <c r="S58" s="354"/>
      <c r="T58" s="354"/>
    </row>
    <row r="59" spans="1:20">
      <c r="A59" s="354"/>
      <c r="B59" s="354"/>
      <c r="C59" s="354"/>
      <c r="D59" s="354"/>
      <c r="E59" s="354"/>
      <c r="F59" s="354"/>
      <c r="G59" s="354"/>
      <c r="H59" s="354"/>
      <c r="I59" s="354"/>
      <c r="J59" s="354"/>
      <c r="K59" s="354"/>
      <c r="L59" s="354"/>
      <c r="M59" s="354"/>
      <c r="N59" s="354"/>
      <c r="O59" s="354"/>
      <c r="P59" s="354"/>
      <c r="Q59" s="354"/>
      <c r="R59" s="354"/>
      <c r="S59" s="354"/>
      <c r="T59" s="354"/>
    </row>
    <row r="60" spans="1:20">
      <c r="A60" s="354"/>
      <c r="B60" s="354"/>
      <c r="C60" s="354"/>
      <c r="D60" s="354"/>
      <c r="E60" s="354"/>
      <c r="F60" s="354"/>
      <c r="G60" s="354"/>
      <c r="H60" s="354"/>
      <c r="I60" s="354"/>
      <c r="J60" s="354"/>
      <c r="K60" s="354"/>
      <c r="L60" s="354"/>
      <c r="M60" s="354"/>
      <c r="N60" s="354"/>
      <c r="O60" s="354"/>
      <c r="P60" s="354"/>
      <c r="Q60" s="354"/>
      <c r="R60" s="354"/>
      <c r="S60" s="354"/>
      <c r="T60" s="354"/>
    </row>
    <row r="61" spans="1:20">
      <c r="A61" s="354"/>
      <c r="B61" s="354"/>
      <c r="C61" s="354"/>
      <c r="D61" s="354"/>
      <c r="E61" s="354"/>
      <c r="F61" s="354"/>
      <c r="G61" s="354"/>
      <c r="H61" s="354"/>
      <c r="I61" s="354"/>
      <c r="J61" s="354"/>
      <c r="K61" s="354"/>
      <c r="L61" s="354"/>
      <c r="M61" s="354"/>
      <c r="N61" s="354"/>
      <c r="O61" s="354"/>
      <c r="P61" s="354"/>
      <c r="Q61" s="354"/>
      <c r="R61" s="354"/>
      <c r="S61" s="354"/>
      <c r="T61" s="354"/>
    </row>
    <row r="62" spans="1:20">
      <c r="A62" s="354"/>
      <c r="B62" s="354"/>
      <c r="C62" s="354"/>
      <c r="D62" s="354"/>
      <c r="E62" s="354"/>
      <c r="F62" s="354"/>
      <c r="G62" s="354"/>
      <c r="H62" s="354"/>
      <c r="I62" s="354"/>
      <c r="J62" s="354"/>
      <c r="K62" s="354"/>
      <c r="L62" s="354"/>
      <c r="M62" s="354"/>
      <c r="N62" s="354"/>
      <c r="O62" s="354"/>
      <c r="P62" s="354"/>
      <c r="Q62" s="354"/>
      <c r="R62" s="354"/>
      <c r="S62" s="354"/>
      <c r="T62" s="354"/>
    </row>
    <row r="63" spans="1:20">
      <c r="A63" s="354"/>
      <c r="B63" s="354"/>
      <c r="C63" s="354"/>
      <c r="D63" s="354"/>
      <c r="E63" s="354"/>
      <c r="F63" s="354"/>
      <c r="G63" s="354"/>
      <c r="H63" s="354"/>
      <c r="I63" s="354"/>
      <c r="J63" s="354"/>
      <c r="K63" s="354"/>
      <c r="L63" s="354"/>
      <c r="M63" s="354"/>
      <c r="N63" s="354"/>
      <c r="O63" s="354"/>
      <c r="P63" s="354"/>
      <c r="Q63" s="354"/>
      <c r="R63" s="354"/>
      <c r="S63" s="354"/>
      <c r="T63" s="354"/>
    </row>
    <row r="64" spans="1:20">
      <c r="A64" s="354"/>
      <c r="B64" s="354"/>
      <c r="C64" s="354"/>
      <c r="D64" s="354"/>
      <c r="E64" s="354"/>
      <c r="F64" s="354"/>
      <c r="G64" s="354"/>
      <c r="H64" s="354"/>
      <c r="I64" s="354"/>
      <c r="J64" s="354"/>
      <c r="K64" s="354"/>
      <c r="L64" s="354"/>
      <c r="M64" s="354"/>
      <c r="N64" s="354"/>
      <c r="O64" s="354"/>
      <c r="P64" s="354"/>
      <c r="Q64" s="354"/>
      <c r="R64" s="354"/>
      <c r="S64" s="354"/>
      <c r="T64" s="354"/>
    </row>
    <row r="65" spans="1:20">
      <c r="A65" s="354"/>
      <c r="B65" s="354"/>
      <c r="C65" s="354"/>
      <c r="D65" s="354"/>
      <c r="E65" s="354"/>
      <c r="F65" s="354"/>
      <c r="G65" s="354"/>
      <c r="H65" s="354"/>
      <c r="I65" s="354"/>
      <c r="J65" s="354"/>
      <c r="K65" s="354"/>
      <c r="L65" s="354"/>
      <c r="M65" s="354"/>
      <c r="N65" s="354"/>
      <c r="O65" s="354"/>
      <c r="P65" s="354"/>
      <c r="Q65" s="354"/>
      <c r="R65" s="354"/>
      <c r="S65" s="354"/>
      <c r="T65" s="354"/>
    </row>
    <row r="66" spans="1:20">
      <c r="A66" s="354"/>
      <c r="B66" s="354"/>
      <c r="C66" s="354"/>
      <c r="D66" s="354"/>
      <c r="E66" s="354"/>
      <c r="F66" s="354"/>
      <c r="G66" s="354"/>
      <c r="H66" s="354"/>
      <c r="I66" s="354"/>
      <c r="J66" s="354"/>
      <c r="K66" s="354"/>
      <c r="L66" s="354"/>
      <c r="M66" s="354"/>
      <c r="N66" s="354"/>
      <c r="O66" s="354"/>
      <c r="P66" s="354"/>
      <c r="Q66" s="354"/>
      <c r="R66" s="354"/>
      <c r="S66" s="354"/>
      <c r="T66" s="354"/>
    </row>
    <row r="67" spans="1:20">
      <c r="A67" s="354"/>
      <c r="B67" s="354"/>
      <c r="C67" s="354"/>
      <c r="D67" s="354"/>
      <c r="E67" s="354"/>
      <c r="F67" s="354"/>
      <c r="G67" s="354"/>
      <c r="H67" s="354"/>
      <c r="I67" s="354"/>
      <c r="J67" s="354"/>
      <c r="K67" s="354"/>
      <c r="L67" s="354"/>
      <c r="M67" s="354"/>
      <c r="N67" s="354"/>
      <c r="O67" s="354"/>
      <c r="P67" s="354"/>
      <c r="Q67" s="354"/>
      <c r="R67" s="354"/>
      <c r="S67" s="354"/>
      <c r="T67" s="354"/>
    </row>
    <row r="68" spans="1:20">
      <c r="A68" s="354"/>
      <c r="B68" s="354"/>
      <c r="C68" s="354"/>
      <c r="D68" s="354"/>
      <c r="E68" s="354"/>
      <c r="F68" s="354"/>
      <c r="G68" s="354"/>
      <c r="H68" s="354"/>
      <c r="I68" s="354"/>
      <c r="J68" s="354"/>
      <c r="K68" s="354"/>
      <c r="L68" s="354"/>
      <c r="M68" s="354"/>
      <c r="N68" s="354"/>
      <c r="O68" s="354"/>
      <c r="P68" s="354"/>
      <c r="Q68" s="354"/>
      <c r="R68" s="354"/>
      <c r="S68" s="354"/>
      <c r="T68" s="354"/>
    </row>
    <row r="69" spans="1:20">
      <c r="A69" s="354"/>
      <c r="B69" s="354"/>
      <c r="C69" s="354"/>
      <c r="D69" s="354"/>
      <c r="E69" s="354"/>
      <c r="F69" s="354"/>
      <c r="G69" s="354"/>
      <c r="H69" s="354"/>
      <c r="I69" s="354"/>
      <c r="J69" s="354"/>
      <c r="K69" s="354"/>
      <c r="L69" s="354"/>
      <c r="M69" s="354"/>
      <c r="N69" s="354"/>
      <c r="O69" s="354"/>
      <c r="P69" s="354"/>
      <c r="Q69" s="354"/>
      <c r="R69" s="354"/>
      <c r="S69" s="354"/>
      <c r="T69" s="354"/>
    </row>
    <row r="70" spans="1:20">
      <c r="A70" s="354"/>
      <c r="B70" s="354"/>
      <c r="C70" s="354"/>
      <c r="D70" s="354"/>
      <c r="E70" s="354"/>
      <c r="F70" s="354"/>
      <c r="G70" s="354"/>
      <c r="H70" s="354"/>
      <c r="I70" s="354"/>
      <c r="J70" s="354"/>
      <c r="K70" s="354"/>
      <c r="L70" s="354"/>
      <c r="M70" s="354"/>
      <c r="N70" s="354"/>
      <c r="O70" s="354"/>
      <c r="P70" s="354"/>
      <c r="Q70" s="354"/>
      <c r="R70" s="354"/>
      <c r="S70" s="354"/>
      <c r="T70" s="354"/>
    </row>
    <row r="71" spans="1:20">
      <c r="A71" s="354"/>
      <c r="B71" s="354"/>
      <c r="C71" s="354"/>
      <c r="D71" s="354"/>
      <c r="E71" s="354"/>
      <c r="F71" s="354"/>
      <c r="G71" s="354"/>
      <c r="H71" s="354"/>
      <c r="I71" s="354"/>
      <c r="J71" s="354"/>
      <c r="K71" s="354"/>
      <c r="L71" s="354"/>
      <c r="M71" s="354"/>
      <c r="N71" s="354"/>
      <c r="O71" s="354"/>
      <c r="P71" s="354"/>
      <c r="Q71" s="354"/>
      <c r="R71" s="354"/>
      <c r="S71" s="354"/>
      <c r="T71" s="354"/>
    </row>
    <row r="72" spans="1:20">
      <c r="A72" s="354"/>
      <c r="B72" s="354"/>
      <c r="C72" s="354"/>
      <c r="D72" s="354"/>
      <c r="E72" s="354"/>
      <c r="F72" s="354"/>
      <c r="G72" s="354"/>
      <c r="H72" s="354"/>
      <c r="I72" s="354"/>
      <c r="J72" s="354"/>
      <c r="K72" s="354"/>
      <c r="L72" s="354"/>
      <c r="M72" s="354"/>
      <c r="N72" s="354"/>
      <c r="O72" s="354"/>
      <c r="P72" s="354"/>
      <c r="Q72" s="354"/>
      <c r="R72" s="354"/>
      <c r="S72" s="354"/>
      <c r="T72" s="354"/>
    </row>
    <row r="73" spans="1:20">
      <c r="A73" s="354"/>
      <c r="B73" s="354"/>
      <c r="C73" s="354"/>
      <c r="D73" s="354"/>
      <c r="E73" s="354"/>
      <c r="F73" s="354"/>
      <c r="G73" s="354"/>
      <c r="H73" s="354"/>
      <c r="I73" s="354"/>
      <c r="J73" s="354"/>
      <c r="K73" s="354"/>
      <c r="L73" s="354"/>
      <c r="M73" s="354"/>
      <c r="N73" s="354"/>
      <c r="O73" s="354"/>
      <c r="P73" s="354"/>
      <c r="Q73" s="354"/>
      <c r="R73" s="354"/>
      <c r="S73" s="354"/>
      <c r="T73" s="354"/>
    </row>
    <row r="74" spans="1:20">
      <c r="A74" s="354"/>
      <c r="B74" s="354"/>
      <c r="C74" s="354"/>
      <c r="D74" s="354"/>
      <c r="E74" s="354"/>
      <c r="F74" s="354"/>
      <c r="G74" s="354"/>
      <c r="H74" s="354"/>
      <c r="I74" s="354"/>
      <c r="J74" s="354"/>
      <c r="K74" s="354"/>
      <c r="L74" s="354"/>
      <c r="M74" s="354"/>
      <c r="N74" s="354"/>
      <c r="O74" s="354"/>
      <c r="P74" s="354"/>
      <c r="Q74" s="354"/>
      <c r="R74" s="354"/>
      <c r="S74" s="354"/>
      <c r="T74" s="354"/>
    </row>
    <row r="75" spans="1:20">
      <c r="A75" s="354"/>
      <c r="B75" s="354"/>
      <c r="C75" s="354"/>
      <c r="D75" s="354"/>
      <c r="E75" s="354"/>
      <c r="F75" s="354"/>
      <c r="G75" s="354"/>
      <c r="H75" s="354"/>
      <c r="I75" s="354"/>
      <c r="J75" s="354"/>
      <c r="K75" s="354"/>
      <c r="L75" s="354"/>
      <c r="M75" s="354"/>
      <c r="N75" s="354"/>
      <c r="O75" s="354"/>
      <c r="P75" s="354"/>
      <c r="Q75" s="354"/>
      <c r="R75" s="354"/>
      <c r="S75" s="354"/>
      <c r="T75" s="354"/>
    </row>
    <row r="76" spans="1:20">
      <c r="A76" s="354"/>
      <c r="B76" s="354"/>
      <c r="C76" s="354"/>
      <c r="D76" s="354"/>
      <c r="E76" s="354"/>
      <c r="F76" s="354"/>
      <c r="G76" s="354"/>
      <c r="H76" s="354"/>
      <c r="I76" s="354"/>
      <c r="J76" s="354"/>
      <c r="K76" s="354"/>
      <c r="L76" s="354"/>
      <c r="M76" s="354"/>
      <c r="N76" s="354"/>
      <c r="O76" s="354"/>
      <c r="P76" s="354"/>
      <c r="Q76" s="354"/>
      <c r="R76" s="354"/>
      <c r="S76" s="354"/>
      <c r="T76" s="354"/>
    </row>
    <row r="77" spans="1:20">
      <c r="A77" s="354"/>
      <c r="B77" s="354"/>
      <c r="C77" s="354"/>
      <c r="D77" s="354"/>
      <c r="E77" s="354"/>
      <c r="F77" s="354"/>
      <c r="G77" s="354"/>
      <c r="H77" s="354"/>
      <c r="I77" s="354"/>
      <c r="J77" s="354"/>
      <c r="K77" s="354"/>
      <c r="L77" s="354"/>
      <c r="M77" s="354"/>
      <c r="N77" s="354"/>
      <c r="O77" s="354"/>
      <c r="P77" s="354"/>
      <c r="Q77" s="354"/>
      <c r="R77" s="354"/>
      <c r="S77" s="354"/>
      <c r="T77" s="354"/>
    </row>
    <row r="78" spans="1:20">
      <c r="A78" s="354"/>
      <c r="B78" s="354"/>
      <c r="C78" s="354"/>
      <c r="D78" s="354"/>
      <c r="E78" s="354"/>
      <c r="F78" s="354"/>
      <c r="G78" s="354"/>
      <c r="H78" s="354"/>
      <c r="I78" s="354"/>
      <c r="J78" s="354"/>
      <c r="K78" s="354"/>
      <c r="L78" s="354"/>
      <c r="M78" s="354"/>
      <c r="N78" s="354"/>
      <c r="O78" s="354"/>
      <c r="P78" s="354"/>
      <c r="Q78" s="354"/>
      <c r="R78" s="354"/>
      <c r="S78" s="354"/>
      <c r="T78" s="354"/>
    </row>
    <row r="79" spans="1:20">
      <c r="A79" s="354"/>
      <c r="B79" s="354"/>
      <c r="C79" s="354"/>
      <c r="D79" s="354"/>
      <c r="E79" s="354"/>
      <c r="F79" s="354"/>
      <c r="G79" s="354"/>
      <c r="H79" s="354"/>
      <c r="I79" s="354"/>
      <c r="J79" s="354"/>
      <c r="K79" s="354"/>
      <c r="L79" s="354"/>
      <c r="M79" s="354"/>
      <c r="N79" s="354"/>
      <c r="O79" s="354"/>
      <c r="P79" s="354"/>
      <c r="Q79" s="354"/>
      <c r="R79" s="354"/>
      <c r="S79" s="354"/>
      <c r="T79" s="354"/>
    </row>
    <row r="80" spans="1:20">
      <c r="A80" s="354"/>
      <c r="B80" s="354"/>
      <c r="C80" s="354"/>
      <c r="D80" s="354"/>
      <c r="E80" s="354"/>
      <c r="F80" s="354"/>
      <c r="G80" s="354"/>
      <c r="H80" s="354"/>
      <c r="I80" s="354"/>
      <c r="J80" s="354"/>
      <c r="K80" s="354"/>
      <c r="L80" s="354"/>
      <c r="M80" s="354"/>
      <c r="N80" s="354"/>
      <c r="O80" s="354"/>
      <c r="P80" s="354"/>
      <c r="Q80" s="354"/>
      <c r="R80" s="354"/>
      <c r="S80" s="354"/>
      <c r="T80" s="354"/>
    </row>
    <row r="81" spans="1:20">
      <c r="A81" s="354"/>
      <c r="B81" s="354"/>
      <c r="C81" s="354"/>
      <c r="D81" s="354"/>
      <c r="E81" s="354"/>
      <c r="F81" s="354"/>
      <c r="G81" s="354"/>
      <c r="H81" s="354"/>
      <c r="I81" s="354"/>
      <c r="J81" s="354"/>
      <c r="K81" s="354"/>
      <c r="L81" s="354"/>
      <c r="M81" s="354"/>
      <c r="N81" s="354"/>
      <c r="O81" s="354"/>
      <c r="P81" s="354"/>
      <c r="Q81" s="354"/>
      <c r="R81" s="354"/>
      <c r="S81" s="354"/>
      <c r="T81" s="354"/>
    </row>
    <row r="82" spans="1:20">
      <c r="A82" s="354"/>
      <c r="B82" s="354"/>
      <c r="C82" s="354"/>
      <c r="D82" s="354"/>
      <c r="E82" s="354"/>
      <c r="F82" s="354"/>
      <c r="G82" s="354"/>
      <c r="H82" s="354"/>
      <c r="I82" s="354"/>
      <c r="J82" s="354"/>
      <c r="K82" s="354"/>
      <c r="L82" s="354"/>
      <c r="M82" s="354"/>
      <c r="N82" s="354"/>
      <c r="O82" s="354"/>
      <c r="P82" s="354"/>
      <c r="Q82" s="354"/>
      <c r="R82" s="354"/>
      <c r="S82" s="354"/>
      <c r="T82" s="354"/>
    </row>
    <row r="83" spans="1:20">
      <c r="A83" s="354"/>
      <c r="B83" s="354"/>
      <c r="C83" s="354"/>
      <c r="D83" s="354"/>
      <c r="E83" s="354"/>
      <c r="F83" s="354"/>
      <c r="G83" s="354"/>
      <c r="H83" s="354"/>
      <c r="I83" s="354"/>
      <c r="J83" s="354"/>
      <c r="K83" s="354"/>
      <c r="L83" s="354"/>
      <c r="M83" s="354"/>
      <c r="N83" s="354"/>
      <c r="O83" s="354"/>
      <c r="P83" s="354"/>
      <c r="Q83" s="354"/>
      <c r="R83" s="354"/>
      <c r="S83" s="354"/>
      <c r="T83" s="354"/>
    </row>
    <row r="84" spans="1:20">
      <c r="A84" s="354"/>
      <c r="B84" s="354"/>
      <c r="C84" s="354"/>
      <c r="D84" s="354"/>
      <c r="E84" s="354"/>
      <c r="F84" s="354"/>
      <c r="G84" s="354"/>
      <c r="H84" s="354"/>
      <c r="I84" s="354"/>
      <c r="J84" s="354"/>
      <c r="K84" s="354"/>
      <c r="L84" s="354"/>
      <c r="M84" s="354"/>
      <c r="N84" s="354"/>
      <c r="O84" s="354"/>
      <c r="P84" s="354"/>
      <c r="Q84" s="354"/>
      <c r="R84" s="354"/>
      <c r="S84" s="354"/>
      <c r="T84" s="354"/>
    </row>
    <row r="85" spans="1:20">
      <c r="A85" s="354"/>
      <c r="B85" s="354"/>
      <c r="C85" s="354"/>
      <c r="D85" s="354"/>
      <c r="E85" s="354"/>
      <c r="F85" s="354"/>
      <c r="G85" s="354"/>
      <c r="H85" s="354"/>
      <c r="I85" s="354"/>
      <c r="J85" s="354"/>
      <c r="K85" s="354"/>
      <c r="L85" s="354"/>
      <c r="M85" s="354"/>
      <c r="N85" s="354"/>
      <c r="O85" s="354"/>
      <c r="P85" s="354"/>
      <c r="Q85" s="354"/>
      <c r="R85" s="354"/>
      <c r="S85" s="354"/>
      <c r="T85" s="354"/>
    </row>
    <row r="86" spans="1:20">
      <c r="A86" s="354"/>
      <c r="B86" s="354"/>
      <c r="C86" s="354"/>
      <c r="D86" s="354"/>
      <c r="E86" s="354"/>
      <c r="F86" s="354"/>
      <c r="G86" s="354"/>
      <c r="H86" s="354"/>
      <c r="I86" s="354"/>
      <c r="J86" s="354"/>
      <c r="K86" s="354"/>
      <c r="L86" s="354"/>
      <c r="M86" s="354"/>
      <c r="N86" s="354"/>
      <c r="O86" s="354"/>
      <c r="P86" s="354"/>
      <c r="Q86" s="354"/>
      <c r="R86" s="354"/>
      <c r="S86" s="354"/>
      <c r="T86" s="354"/>
    </row>
    <row r="87" spans="1:20">
      <c r="A87" s="354"/>
      <c r="B87" s="354"/>
      <c r="C87" s="354"/>
      <c r="D87" s="354"/>
      <c r="E87" s="354"/>
      <c r="F87" s="354"/>
      <c r="G87" s="354"/>
      <c r="H87" s="354"/>
      <c r="I87" s="354"/>
      <c r="J87" s="354"/>
      <c r="K87" s="354"/>
      <c r="L87" s="354"/>
      <c r="M87" s="354"/>
      <c r="N87" s="354"/>
      <c r="O87" s="354"/>
      <c r="P87" s="354"/>
      <c r="Q87" s="354"/>
      <c r="R87" s="354"/>
      <c r="S87" s="354"/>
      <c r="T87" s="354"/>
    </row>
    <row r="88" spans="1:20">
      <c r="A88" s="354"/>
      <c r="B88" s="354"/>
      <c r="C88" s="354"/>
      <c r="D88" s="354"/>
      <c r="E88" s="354"/>
      <c r="F88" s="354"/>
      <c r="G88" s="354"/>
      <c r="H88" s="354"/>
      <c r="I88" s="354"/>
      <c r="J88" s="354"/>
      <c r="K88" s="354"/>
      <c r="L88" s="354"/>
      <c r="M88" s="354"/>
      <c r="N88" s="354"/>
      <c r="O88" s="354"/>
      <c r="P88" s="354"/>
      <c r="Q88" s="354"/>
      <c r="R88" s="354"/>
      <c r="S88" s="354"/>
      <c r="T88" s="354"/>
    </row>
    <row r="89" spans="1:20">
      <c r="A89" s="354"/>
      <c r="B89" s="354"/>
      <c r="C89" s="354"/>
      <c r="D89" s="354"/>
      <c r="E89" s="354"/>
      <c r="F89" s="354"/>
      <c r="G89" s="354"/>
      <c r="H89" s="354"/>
      <c r="I89" s="354"/>
      <c r="J89" s="354"/>
      <c r="K89" s="354"/>
      <c r="L89" s="354"/>
      <c r="M89" s="354"/>
      <c r="N89" s="354"/>
      <c r="O89" s="354"/>
      <c r="P89" s="354"/>
      <c r="Q89" s="354"/>
      <c r="R89" s="354"/>
      <c r="S89" s="354"/>
      <c r="T89" s="354"/>
    </row>
    <row r="90" spans="1:20">
      <c r="A90" s="354"/>
      <c r="B90" s="354"/>
      <c r="C90" s="354"/>
      <c r="D90" s="354"/>
      <c r="E90" s="354"/>
      <c r="F90" s="354"/>
      <c r="G90" s="354"/>
      <c r="H90" s="354"/>
      <c r="I90" s="354"/>
      <c r="J90" s="354"/>
      <c r="K90" s="354"/>
      <c r="L90" s="354"/>
      <c r="M90" s="354"/>
      <c r="N90" s="354"/>
      <c r="O90" s="354"/>
      <c r="P90" s="354"/>
      <c r="Q90" s="354"/>
      <c r="R90" s="354"/>
      <c r="S90" s="354"/>
      <c r="T90" s="354"/>
    </row>
    <row r="91" spans="1:20">
      <c r="A91" s="354"/>
      <c r="B91" s="354"/>
      <c r="C91" s="354"/>
      <c r="D91" s="354"/>
      <c r="E91" s="354"/>
      <c r="F91" s="354"/>
      <c r="G91" s="354"/>
      <c r="H91" s="354"/>
      <c r="I91" s="354"/>
      <c r="J91" s="354"/>
      <c r="K91" s="354"/>
      <c r="L91" s="354"/>
      <c r="M91" s="354"/>
      <c r="N91" s="354"/>
      <c r="O91" s="354"/>
      <c r="P91" s="354"/>
      <c r="Q91" s="354"/>
      <c r="R91" s="354"/>
      <c r="S91" s="354"/>
      <c r="T91" s="354"/>
    </row>
    <row r="92" spans="1:20">
      <c r="A92" s="354"/>
      <c r="B92" s="354"/>
      <c r="C92" s="354"/>
      <c r="D92" s="354"/>
      <c r="E92" s="354"/>
      <c r="F92" s="354"/>
      <c r="G92" s="354"/>
      <c r="H92" s="354"/>
      <c r="I92" s="354"/>
      <c r="J92" s="354"/>
      <c r="K92" s="354"/>
      <c r="L92" s="354"/>
      <c r="M92" s="354"/>
      <c r="N92" s="354"/>
      <c r="O92" s="354"/>
      <c r="P92" s="354"/>
      <c r="Q92" s="354"/>
      <c r="R92" s="354"/>
      <c r="S92" s="354"/>
      <c r="T92" s="354"/>
    </row>
    <row r="93" spans="1:20">
      <c r="A93" s="354"/>
      <c r="B93" s="354"/>
      <c r="C93" s="354"/>
      <c r="D93" s="354"/>
      <c r="E93" s="354"/>
      <c r="F93" s="354"/>
      <c r="G93" s="354"/>
      <c r="H93" s="354"/>
      <c r="I93" s="354"/>
      <c r="J93" s="354"/>
      <c r="K93" s="354"/>
      <c r="L93" s="354"/>
      <c r="M93" s="354"/>
      <c r="N93" s="354"/>
      <c r="O93" s="354"/>
      <c r="P93" s="354"/>
      <c r="Q93" s="354"/>
      <c r="R93" s="354"/>
      <c r="S93" s="354"/>
      <c r="T93" s="354"/>
    </row>
    <row r="94" spans="1:20">
      <c r="A94" s="354"/>
      <c r="B94" s="354"/>
      <c r="C94" s="354"/>
      <c r="D94" s="354"/>
      <c r="E94" s="354"/>
      <c r="F94" s="354"/>
      <c r="G94" s="354"/>
      <c r="H94" s="354"/>
      <c r="I94" s="354"/>
      <c r="J94" s="354"/>
      <c r="K94" s="354"/>
      <c r="L94" s="354"/>
      <c r="M94" s="354"/>
      <c r="N94" s="354"/>
      <c r="O94" s="354"/>
      <c r="P94" s="354"/>
      <c r="Q94" s="354"/>
      <c r="R94" s="354"/>
      <c r="S94" s="354"/>
      <c r="T94" s="354"/>
    </row>
    <row r="95" spans="1:20">
      <c r="A95" s="354"/>
      <c r="B95" s="354"/>
      <c r="C95" s="354"/>
      <c r="D95" s="354"/>
      <c r="E95" s="354"/>
      <c r="F95" s="354"/>
      <c r="G95" s="354"/>
      <c r="H95" s="354"/>
      <c r="I95" s="354"/>
      <c r="J95" s="354"/>
      <c r="K95" s="354"/>
      <c r="L95" s="354"/>
      <c r="M95" s="354"/>
      <c r="N95" s="354"/>
      <c r="O95" s="354"/>
      <c r="P95" s="354"/>
      <c r="Q95" s="354"/>
      <c r="R95" s="354"/>
      <c r="S95" s="354"/>
      <c r="T95" s="354"/>
    </row>
    <row r="96" spans="1:20">
      <c r="A96" s="354"/>
      <c r="B96" s="354"/>
      <c r="C96" s="354"/>
      <c r="D96" s="354"/>
      <c r="E96" s="354"/>
      <c r="F96" s="354"/>
      <c r="G96" s="354"/>
      <c r="H96" s="354"/>
      <c r="I96" s="354"/>
      <c r="J96" s="354"/>
      <c r="K96" s="354"/>
      <c r="L96" s="354"/>
      <c r="M96" s="354"/>
      <c r="N96" s="354"/>
      <c r="O96" s="354"/>
      <c r="P96" s="354"/>
      <c r="Q96" s="354"/>
      <c r="R96" s="354"/>
      <c r="S96" s="354"/>
      <c r="T96" s="354"/>
    </row>
    <row r="97" spans="1:20">
      <c r="A97" s="354"/>
      <c r="B97" s="354"/>
      <c r="C97" s="354"/>
      <c r="D97" s="354"/>
      <c r="E97" s="354"/>
      <c r="F97" s="354"/>
      <c r="G97" s="354"/>
      <c r="H97" s="354"/>
      <c r="I97" s="354"/>
      <c r="J97" s="354"/>
      <c r="K97" s="354"/>
      <c r="L97" s="354"/>
      <c r="M97" s="354"/>
      <c r="N97" s="354"/>
      <c r="O97" s="354"/>
      <c r="P97" s="354"/>
      <c r="Q97" s="354"/>
      <c r="R97" s="354"/>
      <c r="S97" s="354"/>
      <c r="T97" s="354"/>
    </row>
    <row r="98" spans="1:20">
      <c r="A98" s="354"/>
      <c r="B98" s="354"/>
      <c r="C98" s="354"/>
      <c r="D98" s="354"/>
      <c r="E98" s="354"/>
      <c r="F98" s="354"/>
      <c r="G98" s="354"/>
      <c r="H98" s="354"/>
      <c r="I98" s="354"/>
      <c r="J98" s="354"/>
      <c r="K98" s="354"/>
      <c r="L98" s="354"/>
      <c r="M98" s="354"/>
      <c r="N98" s="354"/>
      <c r="O98" s="354"/>
      <c r="P98" s="354"/>
      <c r="Q98" s="354"/>
      <c r="R98" s="354"/>
      <c r="S98" s="354"/>
      <c r="T98" s="354"/>
    </row>
    <row r="99" spans="1:20">
      <c r="A99" s="354"/>
      <c r="B99" s="354"/>
      <c r="C99" s="354"/>
      <c r="D99" s="354"/>
      <c r="E99" s="354"/>
      <c r="F99" s="354"/>
      <c r="G99" s="354"/>
      <c r="H99" s="354"/>
      <c r="I99" s="354"/>
      <c r="J99" s="354"/>
      <c r="K99" s="354"/>
      <c r="L99" s="354"/>
      <c r="M99" s="354"/>
      <c r="N99" s="354"/>
      <c r="O99" s="354"/>
      <c r="P99" s="354"/>
      <c r="Q99" s="354"/>
      <c r="R99" s="354"/>
      <c r="S99" s="354"/>
      <c r="T99" s="354"/>
    </row>
    <row r="100" spans="1:20">
      <c r="A100" s="354"/>
      <c r="B100" s="354"/>
      <c r="C100" s="354"/>
      <c r="D100" s="354"/>
      <c r="E100" s="354"/>
      <c r="F100" s="354"/>
      <c r="G100" s="354"/>
      <c r="H100" s="354"/>
      <c r="I100" s="354"/>
      <c r="J100" s="354"/>
      <c r="K100" s="354"/>
      <c r="L100" s="354"/>
      <c r="M100" s="354"/>
      <c r="N100" s="354"/>
      <c r="O100" s="354"/>
      <c r="P100" s="354"/>
      <c r="Q100" s="354"/>
      <c r="R100" s="354"/>
      <c r="S100" s="354"/>
      <c r="T100" s="354"/>
    </row>
    <row r="101" spans="1:20">
      <c r="A101" s="354"/>
      <c r="B101" s="354"/>
      <c r="C101" s="354"/>
      <c r="D101" s="354"/>
      <c r="E101" s="354"/>
      <c r="F101" s="354"/>
      <c r="G101" s="354"/>
      <c r="H101" s="354"/>
      <c r="I101" s="354"/>
      <c r="J101" s="354"/>
      <c r="K101" s="354"/>
      <c r="L101" s="354"/>
      <c r="M101" s="354"/>
      <c r="N101" s="354"/>
      <c r="O101" s="354"/>
      <c r="P101" s="354"/>
      <c r="Q101" s="354"/>
      <c r="R101" s="354"/>
      <c r="S101" s="354"/>
      <c r="T101" s="354"/>
    </row>
    <row r="102" spans="1:20">
      <c r="A102" s="354"/>
      <c r="B102" s="354"/>
      <c r="C102" s="354"/>
      <c r="D102" s="354"/>
      <c r="E102" s="354"/>
      <c r="F102" s="354"/>
      <c r="G102" s="354"/>
      <c r="H102" s="354"/>
      <c r="I102" s="354"/>
      <c r="J102" s="354"/>
      <c r="K102" s="354"/>
      <c r="L102" s="354"/>
      <c r="M102" s="354"/>
      <c r="N102" s="354"/>
      <c r="O102" s="354"/>
      <c r="P102" s="354"/>
      <c r="Q102" s="354"/>
      <c r="R102" s="354"/>
      <c r="S102" s="354"/>
      <c r="T102" s="354"/>
    </row>
    <row r="103" spans="1:20">
      <c r="A103" s="354"/>
      <c r="B103" s="354"/>
      <c r="C103" s="354"/>
      <c r="D103" s="354"/>
      <c r="E103" s="354"/>
      <c r="F103" s="354"/>
      <c r="G103" s="354"/>
      <c r="H103" s="354"/>
      <c r="I103" s="354"/>
      <c r="J103" s="354"/>
      <c r="K103" s="354"/>
      <c r="L103" s="354"/>
      <c r="M103" s="354"/>
      <c r="N103" s="354"/>
      <c r="O103" s="354"/>
      <c r="P103" s="354"/>
      <c r="Q103" s="354"/>
      <c r="R103" s="354"/>
      <c r="S103" s="354"/>
      <c r="T103" s="354"/>
    </row>
    <row r="104" spans="1:20">
      <c r="A104" s="354"/>
      <c r="B104" s="354"/>
      <c r="C104" s="354"/>
      <c r="D104" s="354"/>
      <c r="E104" s="354"/>
      <c r="F104" s="354"/>
      <c r="G104" s="354"/>
      <c r="H104" s="354"/>
      <c r="I104" s="354"/>
      <c r="J104" s="354"/>
      <c r="K104" s="354"/>
      <c r="L104" s="354"/>
      <c r="M104" s="354"/>
      <c r="N104" s="354"/>
      <c r="O104" s="354"/>
      <c r="P104" s="354"/>
      <c r="Q104" s="354"/>
      <c r="R104" s="354"/>
      <c r="S104" s="354"/>
      <c r="T104" s="354"/>
    </row>
    <row r="105" spans="1:20">
      <c r="A105" s="354"/>
      <c r="B105" s="354"/>
      <c r="C105" s="354"/>
      <c r="D105" s="354"/>
      <c r="E105" s="354"/>
      <c r="F105" s="354"/>
      <c r="G105" s="354"/>
      <c r="H105" s="354"/>
      <c r="I105" s="354"/>
      <c r="J105" s="354"/>
      <c r="K105" s="354"/>
      <c r="L105" s="354"/>
      <c r="M105" s="354"/>
      <c r="N105" s="354"/>
      <c r="O105" s="354"/>
      <c r="P105" s="354"/>
      <c r="Q105" s="354"/>
      <c r="R105" s="354"/>
      <c r="S105" s="354"/>
      <c r="T105" s="354"/>
    </row>
    <row r="106" spans="1:20">
      <c r="A106" s="354"/>
      <c r="B106" s="354"/>
      <c r="C106" s="354"/>
      <c r="D106" s="354"/>
      <c r="E106" s="354"/>
      <c r="F106" s="354"/>
      <c r="G106" s="354"/>
      <c r="H106" s="354"/>
      <c r="I106" s="354"/>
      <c r="J106" s="354"/>
      <c r="K106" s="354"/>
      <c r="L106" s="354"/>
      <c r="M106" s="354"/>
      <c r="N106" s="354"/>
      <c r="O106" s="354"/>
      <c r="P106" s="354"/>
      <c r="Q106" s="354"/>
      <c r="R106" s="354"/>
      <c r="S106" s="354"/>
      <c r="T106" s="354"/>
    </row>
    <row r="107" spans="1:20">
      <c r="A107" s="354"/>
      <c r="B107" s="354"/>
      <c r="C107" s="354"/>
      <c r="D107" s="354"/>
      <c r="E107" s="354"/>
      <c r="F107" s="354"/>
      <c r="G107" s="354"/>
      <c r="H107" s="354"/>
      <c r="I107" s="354"/>
      <c r="J107" s="354"/>
      <c r="K107" s="354"/>
      <c r="L107" s="354"/>
      <c r="M107" s="354"/>
      <c r="N107" s="354"/>
      <c r="O107" s="354"/>
      <c r="P107" s="354"/>
      <c r="Q107" s="354"/>
      <c r="R107" s="354"/>
      <c r="S107" s="354"/>
      <c r="T107" s="354"/>
    </row>
    <row r="108" spans="1:20">
      <c r="A108" s="354"/>
      <c r="B108" s="354"/>
      <c r="C108" s="354"/>
      <c r="D108" s="354"/>
      <c r="E108" s="354"/>
      <c r="F108" s="354"/>
      <c r="G108" s="354"/>
      <c r="H108" s="354"/>
      <c r="I108" s="354"/>
      <c r="J108" s="354"/>
      <c r="K108" s="354"/>
      <c r="L108" s="354"/>
      <c r="M108" s="354"/>
      <c r="N108" s="354"/>
      <c r="O108" s="354"/>
      <c r="P108" s="354"/>
      <c r="Q108" s="354"/>
      <c r="R108" s="354"/>
      <c r="S108" s="354"/>
      <c r="T108" s="354"/>
    </row>
    <row r="109" spans="1:20">
      <c r="A109" s="354"/>
      <c r="B109" s="354"/>
      <c r="C109" s="354"/>
      <c r="D109" s="354"/>
      <c r="E109" s="354"/>
      <c r="F109" s="354"/>
      <c r="G109" s="354"/>
      <c r="H109" s="354"/>
      <c r="I109" s="354"/>
      <c r="J109" s="354"/>
      <c r="K109" s="354"/>
      <c r="L109" s="354"/>
      <c r="M109" s="354"/>
      <c r="N109" s="354"/>
      <c r="O109" s="354"/>
      <c r="P109" s="354"/>
      <c r="Q109" s="354"/>
      <c r="R109" s="354"/>
      <c r="S109" s="354"/>
      <c r="T109" s="354"/>
    </row>
    <row r="110" spans="1:20">
      <c r="A110" s="354"/>
      <c r="B110" s="354"/>
      <c r="C110" s="354"/>
      <c r="D110" s="354"/>
      <c r="E110" s="354"/>
      <c r="F110" s="354"/>
      <c r="G110" s="354"/>
      <c r="H110" s="354"/>
      <c r="I110" s="354"/>
      <c r="J110" s="354"/>
      <c r="K110" s="354"/>
      <c r="L110" s="354"/>
      <c r="M110" s="354"/>
      <c r="N110" s="354"/>
      <c r="O110" s="354"/>
      <c r="P110" s="354"/>
      <c r="Q110" s="354"/>
      <c r="R110" s="354"/>
      <c r="S110" s="354"/>
      <c r="T110" s="354"/>
    </row>
    <row r="111" spans="1:20">
      <c r="A111" s="354"/>
      <c r="B111" s="354"/>
      <c r="C111" s="354"/>
      <c r="D111" s="354"/>
      <c r="E111" s="354"/>
      <c r="F111" s="354"/>
      <c r="G111" s="354"/>
      <c r="H111" s="354"/>
      <c r="I111" s="354"/>
      <c r="J111" s="354"/>
      <c r="K111" s="354"/>
      <c r="L111" s="354"/>
      <c r="M111" s="354"/>
      <c r="N111" s="354"/>
      <c r="O111" s="354"/>
      <c r="P111" s="354"/>
      <c r="Q111" s="354"/>
      <c r="R111" s="354"/>
      <c r="S111" s="354"/>
      <c r="T111" s="354"/>
    </row>
    <row r="112" spans="1:20">
      <c r="A112" s="354"/>
      <c r="B112" s="354"/>
      <c r="C112" s="354"/>
      <c r="D112" s="354"/>
      <c r="E112" s="354"/>
      <c r="F112" s="354"/>
      <c r="G112" s="354"/>
      <c r="H112" s="354"/>
      <c r="I112" s="354"/>
      <c r="J112" s="354"/>
      <c r="K112" s="354"/>
      <c r="L112" s="354"/>
      <c r="M112" s="354"/>
      <c r="N112" s="354"/>
      <c r="O112" s="354"/>
      <c r="P112" s="354"/>
      <c r="Q112" s="354"/>
      <c r="R112" s="354"/>
      <c r="S112" s="354"/>
      <c r="T112" s="354"/>
    </row>
    <row r="113" spans="1:20">
      <c r="A113" s="354"/>
      <c r="B113" s="354"/>
      <c r="C113" s="354"/>
      <c r="D113" s="354"/>
      <c r="E113" s="354"/>
      <c r="F113" s="354"/>
      <c r="G113" s="354"/>
      <c r="H113" s="354"/>
      <c r="I113" s="354"/>
      <c r="J113" s="354"/>
      <c r="K113" s="354"/>
      <c r="L113" s="354"/>
      <c r="M113" s="354"/>
      <c r="N113" s="354"/>
      <c r="O113" s="354"/>
      <c r="P113" s="354"/>
      <c r="Q113" s="354"/>
      <c r="R113" s="354"/>
      <c r="S113" s="354"/>
      <c r="T113" s="354"/>
    </row>
    <row r="114" spans="1:20">
      <c r="A114" s="354"/>
      <c r="B114" s="354"/>
      <c r="C114" s="354"/>
      <c r="D114" s="354"/>
      <c r="E114" s="354"/>
      <c r="F114" s="354"/>
      <c r="G114" s="354"/>
      <c r="H114" s="354"/>
      <c r="I114" s="354"/>
      <c r="J114" s="354"/>
      <c r="K114" s="354"/>
      <c r="L114" s="354"/>
      <c r="M114" s="354"/>
      <c r="N114" s="354"/>
      <c r="O114" s="354"/>
      <c r="P114" s="354"/>
      <c r="Q114" s="354"/>
      <c r="R114" s="354"/>
      <c r="S114" s="354"/>
      <c r="T114" s="354"/>
    </row>
    <row r="115" spans="1:20">
      <c r="A115" s="354"/>
      <c r="B115" s="354"/>
      <c r="C115" s="354"/>
      <c r="D115" s="354"/>
      <c r="E115" s="354"/>
      <c r="F115" s="354"/>
      <c r="G115" s="354"/>
      <c r="H115" s="354"/>
      <c r="I115" s="354"/>
      <c r="J115" s="354"/>
      <c r="K115" s="354"/>
      <c r="L115" s="354"/>
      <c r="M115" s="354"/>
      <c r="N115" s="354"/>
      <c r="O115" s="354"/>
      <c r="P115" s="354"/>
      <c r="Q115" s="354"/>
      <c r="R115" s="354"/>
      <c r="S115" s="354"/>
      <c r="T115" s="354"/>
    </row>
    <row r="116" spans="1:20">
      <c r="A116" s="354"/>
      <c r="B116" s="354"/>
      <c r="C116" s="354"/>
      <c r="D116" s="354"/>
      <c r="E116" s="354"/>
      <c r="F116" s="354"/>
      <c r="G116" s="354"/>
      <c r="H116" s="354"/>
      <c r="I116" s="354"/>
      <c r="J116" s="354"/>
      <c r="K116" s="354"/>
      <c r="L116" s="354"/>
      <c r="M116" s="354"/>
      <c r="N116" s="354"/>
      <c r="O116" s="354"/>
      <c r="P116" s="354"/>
      <c r="Q116" s="354"/>
      <c r="R116" s="354"/>
      <c r="S116" s="354"/>
      <c r="T116" s="354"/>
    </row>
    <row r="117" spans="1:20">
      <c r="A117" s="354"/>
      <c r="B117" s="354"/>
      <c r="C117" s="354"/>
      <c r="D117" s="354"/>
      <c r="E117" s="354"/>
      <c r="F117" s="354"/>
      <c r="G117" s="354"/>
      <c r="H117" s="354"/>
      <c r="I117" s="354"/>
      <c r="J117" s="354"/>
      <c r="K117" s="354"/>
      <c r="L117" s="354"/>
      <c r="M117" s="354"/>
      <c r="N117" s="354"/>
      <c r="O117" s="354"/>
      <c r="P117" s="354"/>
      <c r="Q117" s="354"/>
      <c r="R117" s="354"/>
      <c r="S117" s="354"/>
      <c r="T117" s="354"/>
    </row>
    <row r="118" spans="1:20">
      <c r="A118" s="354"/>
      <c r="B118" s="354"/>
      <c r="C118" s="354"/>
      <c r="D118" s="354"/>
      <c r="E118" s="354"/>
      <c r="F118" s="354"/>
      <c r="G118" s="354"/>
      <c r="H118" s="354"/>
      <c r="I118" s="354"/>
      <c r="J118" s="354"/>
      <c r="K118" s="354"/>
      <c r="L118" s="354"/>
      <c r="M118" s="354"/>
      <c r="N118" s="354"/>
      <c r="O118" s="354"/>
      <c r="P118" s="354"/>
      <c r="Q118" s="354"/>
      <c r="R118" s="354"/>
      <c r="S118" s="354"/>
      <c r="T118" s="354"/>
    </row>
    <row r="119" spans="1:20">
      <c r="A119" s="354"/>
      <c r="B119" s="354"/>
      <c r="C119" s="354"/>
      <c r="D119" s="354"/>
      <c r="E119" s="354"/>
      <c r="F119" s="354"/>
      <c r="G119" s="354"/>
      <c r="H119" s="354"/>
      <c r="I119" s="354"/>
      <c r="J119" s="354"/>
      <c r="K119" s="354"/>
      <c r="L119" s="354"/>
      <c r="M119" s="354"/>
      <c r="N119" s="354"/>
      <c r="O119" s="354"/>
      <c r="P119" s="354"/>
      <c r="Q119" s="354"/>
      <c r="R119" s="354"/>
      <c r="S119" s="354"/>
      <c r="T119" s="354"/>
    </row>
    <row r="120" spans="1:20">
      <c r="A120" s="354"/>
      <c r="B120" s="354"/>
      <c r="C120" s="354"/>
      <c r="D120" s="354"/>
      <c r="E120" s="354"/>
      <c r="F120" s="354"/>
      <c r="G120" s="354"/>
      <c r="H120" s="354"/>
      <c r="I120" s="354"/>
      <c r="J120" s="354"/>
      <c r="K120" s="354"/>
      <c r="L120" s="354"/>
      <c r="M120" s="354"/>
      <c r="N120" s="354"/>
      <c r="O120" s="354"/>
      <c r="P120" s="354"/>
      <c r="Q120" s="354"/>
      <c r="R120" s="354"/>
      <c r="S120" s="354"/>
      <c r="T120" s="354"/>
    </row>
    <row r="121" spans="1:20">
      <c r="A121" s="354"/>
      <c r="B121" s="354"/>
      <c r="C121" s="354"/>
      <c r="D121" s="354"/>
      <c r="E121" s="354"/>
      <c r="F121" s="354"/>
      <c r="G121" s="354"/>
      <c r="H121" s="354"/>
      <c r="I121" s="354"/>
      <c r="J121" s="354"/>
      <c r="K121" s="354"/>
      <c r="L121" s="354"/>
      <c r="M121" s="354"/>
      <c r="N121" s="354"/>
      <c r="O121" s="354"/>
      <c r="P121" s="354"/>
      <c r="Q121" s="354"/>
      <c r="R121" s="354"/>
      <c r="S121" s="354"/>
      <c r="T121" s="354"/>
    </row>
    <row r="122" spans="1:20">
      <c r="A122" s="354"/>
      <c r="B122" s="354"/>
      <c r="C122" s="354"/>
      <c r="D122" s="354"/>
      <c r="E122" s="354"/>
      <c r="F122" s="354"/>
      <c r="G122" s="354"/>
      <c r="H122" s="354"/>
      <c r="I122" s="354"/>
      <c r="J122" s="354"/>
      <c r="K122" s="354"/>
      <c r="L122" s="354"/>
      <c r="M122" s="354"/>
      <c r="N122" s="354"/>
      <c r="O122" s="354"/>
      <c r="P122" s="354"/>
      <c r="Q122" s="354"/>
      <c r="R122" s="354"/>
      <c r="S122" s="354"/>
      <c r="T122" s="354"/>
    </row>
    <row r="123" spans="1:20">
      <c r="A123" s="354"/>
      <c r="B123" s="354"/>
      <c r="C123" s="354"/>
      <c r="D123" s="354"/>
      <c r="E123" s="354"/>
      <c r="F123" s="354"/>
      <c r="G123" s="354"/>
      <c r="H123" s="354"/>
      <c r="I123" s="354"/>
      <c r="J123" s="354"/>
      <c r="K123" s="354"/>
      <c r="L123" s="354"/>
      <c r="M123" s="354"/>
      <c r="N123" s="354"/>
      <c r="O123" s="354"/>
      <c r="P123" s="354"/>
      <c r="Q123" s="354"/>
      <c r="R123" s="354"/>
      <c r="S123" s="354"/>
      <c r="T123" s="354"/>
    </row>
    <row r="124" spans="1:20">
      <c r="A124" s="354"/>
      <c r="B124" s="354"/>
      <c r="C124" s="354"/>
      <c r="D124" s="354"/>
      <c r="E124" s="354"/>
      <c r="F124" s="354"/>
      <c r="G124" s="354"/>
      <c r="H124" s="354"/>
      <c r="I124" s="354"/>
      <c r="J124" s="354"/>
      <c r="K124" s="354"/>
      <c r="L124" s="354"/>
      <c r="M124" s="354"/>
      <c r="N124" s="354"/>
      <c r="O124" s="354"/>
      <c r="P124" s="354"/>
      <c r="Q124" s="354"/>
      <c r="R124" s="354"/>
      <c r="S124" s="354"/>
      <c r="T124" s="354"/>
    </row>
    <row r="125" spans="1:20">
      <c r="A125" s="354"/>
      <c r="B125" s="354"/>
      <c r="C125" s="354"/>
      <c r="D125" s="354"/>
      <c r="E125" s="354"/>
      <c r="F125" s="354"/>
      <c r="G125" s="354"/>
      <c r="H125" s="354"/>
      <c r="I125" s="354"/>
      <c r="J125" s="354"/>
      <c r="K125" s="354"/>
      <c r="L125" s="354"/>
      <c r="M125" s="354"/>
      <c r="N125" s="354"/>
      <c r="O125" s="354"/>
      <c r="P125" s="354"/>
      <c r="Q125" s="354"/>
      <c r="R125" s="354"/>
      <c r="S125" s="354"/>
      <c r="T125" s="354"/>
    </row>
    <row r="126" spans="1:20">
      <c r="A126" s="354"/>
      <c r="B126" s="354"/>
      <c r="C126" s="354"/>
      <c r="D126" s="354"/>
      <c r="E126" s="354"/>
      <c r="F126" s="354"/>
      <c r="G126" s="354"/>
      <c r="H126" s="354"/>
      <c r="I126" s="354"/>
      <c r="J126" s="354"/>
      <c r="K126" s="354"/>
      <c r="L126" s="354"/>
      <c r="M126" s="354"/>
      <c r="N126" s="354"/>
      <c r="O126" s="354"/>
      <c r="P126" s="354"/>
      <c r="Q126" s="354"/>
      <c r="R126" s="354"/>
      <c r="S126" s="354"/>
      <c r="T126" s="354"/>
    </row>
    <row r="127" spans="1:20">
      <c r="A127" s="354"/>
      <c r="B127" s="354"/>
      <c r="C127" s="354"/>
      <c r="D127" s="354"/>
      <c r="E127" s="354"/>
      <c r="F127" s="354"/>
      <c r="G127" s="354"/>
      <c r="H127" s="354"/>
      <c r="I127" s="354"/>
      <c r="J127" s="354"/>
      <c r="K127" s="354"/>
      <c r="L127" s="354"/>
      <c r="M127" s="354"/>
      <c r="N127" s="354"/>
      <c r="O127" s="354"/>
      <c r="P127" s="354"/>
      <c r="Q127" s="354"/>
      <c r="R127" s="354"/>
      <c r="S127" s="354"/>
      <c r="T127" s="354"/>
    </row>
    <row r="128" spans="1:20">
      <c r="A128" s="354"/>
      <c r="B128" s="354"/>
      <c r="C128" s="354"/>
      <c r="D128" s="354"/>
      <c r="E128" s="354"/>
      <c r="F128" s="354"/>
      <c r="G128" s="354"/>
      <c r="H128" s="354"/>
      <c r="I128" s="354"/>
      <c r="J128" s="354"/>
      <c r="K128" s="354"/>
      <c r="L128" s="354"/>
      <c r="M128" s="354"/>
      <c r="N128" s="354"/>
      <c r="O128" s="354"/>
      <c r="P128" s="354"/>
      <c r="Q128" s="354"/>
      <c r="R128" s="354"/>
      <c r="S128" s="354"/>
      <c r="T128" s="354"/>
    </row>
    <row r="129" spans="1:20">
      <c r="A129" s="354"/>
      <c r="B129" s="354"/>
      <c r="C129" s="354"/>
      <c r="D129" s="354"/>
      <c r="E129" s="354"/>
      <c r="F129" s="354"/>
      <c r="G129" s="354"/>
      <c r="H129" s="354"/>
      <c r="I129" s="354"/>
      <c r="J129" s="354"/>
      <c r="K129" s="354"/>
      <c r="L129" s="354"/>
      <c r="M129" s="354"/>
      <c r="N129" s="354"/>
      <c r="O129" s="354"/>
      <c r="P129" s="354"/>
      <c r="Q129" s="354"/>
      <c r="R129" s="354"/>
      <c r="S129" s="354"/>
      <c r="T129" s="354"/>
    </row>
    <row r="130" spans="1:20">
      <c r="A130" s="354"/>
      <c r="B130" s="354"/>
      <c r="C130" s="354"/>
      <c r="D130" s="354"/>
      <c r="E130" s="354"/>
      <c r="F130" s="354"/>
      <c r="G130" s="354"/>
      <c r="H130" s="354"/>
      <c r="I130" s="354"/>
      <c r="J130" s="354"/>
      <c r="K130" s="354"/>
      <c r="L130" s="354"/>
      <c r="M130" s="354"/>
      <c r="N130" s="354"/>
      <c r="O130" s="354"/>
      <c r="P130" s="354"/>
      <c r="Q130" s="354"/>
      <c r="R130" s="354"/>
      <c r="S130" s="354"/>
      <c r="T130" s="354"/>
    </row>
    <row r="131" spans="1:20">
      <c r="A131" s="354"/>
      <c r="B131" s="354"/>
      <c r="C131" s="354"/>
      <c r="D131" s="354"/>
      <c r="E131" s="354"/>
      <c r="F131" s="354"/>
      <c r="G131" s="354"/>
      <c r="H131" s="354"/>
      <c r="I131" s="354"/>
      <c r="J131" s="354"/>
      <c r="K131" s="354"/>
      <c r="L131" s="354"/>
      <c r="M131" s="354"/>
      <c r="N131" s="354"/>
      <c r="O131" s="354"/>
      <c r="P131" s="354"/>
      <c r="Q131" s="354"/>
      <c r="R131" s="354"/>
      <c r="S131" s="354"/>
      <c r="T131" s="354"/>
    </row>
    <row r="132" spans="1:20">
      <c r="A132" s="354"/>
      <c r="B132" s="354"/>
      <c r="C132" s="354"/>
      <c r="D132" s="354"/>
      <c r="E132" s="354"/>
      <c r="F132" s="354"/>
      <c r="G132" s="354"/>
      <c r="H132" s="354"/>
      <c r="I132" s="354"/>
      <c r="J132" s="354"/>
      <c r="K132" s="354"/>
      <c r="L132" s="354"/>
      <c r="M132" s="354"/>
      <c r="N132" s="354"/>
      <c r="O132" s="354"/>
      <c r="P132" s="354"/>
      <c r="Q132" s="354"/>
      <c r="R132" s="354"/>
      <c r="S132" s="354"/>
      <c r="T132" s="354"/>
    </row>
    <row r="133" spans="1:20">
      <c r="A133" s="354"/>
      <c r="B133" s="354"/>
      <c r="C133" s="354"/>
      <c r="D133" s="354"/>
      <c r="E133" s="354"/>
      <c r="F133" s="354"/>
      <c r="G133" s="354"/>
      <c r="H133" s="354"/>
      <c r="I133" s="354"/>
      <c r="J133" s="354"/>
      <c r="K133" s="354"/>
      <c r="L133" s="354"/>
      <c r="M133" s="354"/>
      <c r="N133" s="354"/>
      <c r="O133" s="354"/>
      <c r="P133" s="354"/>
      <c r="Q133" s="354"/>
      <c r="R133" s="354"/>
      <c r="S133" s="354"/>
      <c r="T133" s="354"/>
    </row>
    <row r="134" spans="1:20">
      <c r="A134" s="354"/>
      <c r="B134" s="354"/>
      <c r="C134" s="354"/>
      <c r="D134" s="354"/>
      <c r="E134" s="354"/>
      <c r="F134" s="354"/>
      <c r="G134" s="354"/>
      <c r="H134" s="354"/>
      <c r="I134" s="354"/>
      <c r="J134" s="354"/>
      <c r="K134" s="354"/>
      <c r="L134" s="354"/>
      <c r="M134" s="354"/>
      <c r="N134" s="354"/>
      <c r="O134" s="354"/>
      <c r="P134" s="354"/>
      <c r="Q134" s="354"/>
      <c r="R134" s="354"/>
      <c r="S134" s="354"/>
      <c r="T134" s="354"/>
    </row>
    <row r="135" spans="1:20">
      <c r="A135" s="354"/>
      <c r="B135" s="354"/>
      <c r="C135" s="354"/>
      <c r="D135" s="354"/>
      <c r="E135" s="354"/>
      <c r="F135" s="354"/>
      <c r="G135" s="354"/>
      <c r="H135" s="354"/>
      <c r="I135" s="354"/>
      <c r="J135" s="354"/>
      <c r="K135" s="354"/>
      <c r="L135" s="354"/>
      <c r="M135" s="354"/>
      <c r="N135" s="354"/>
      <c r="O135" s="354"/>
      <c r="P135" s="354"/>
      <c r="Q135" s="354"/>
      <c r="R135" s="354"/>
      <c r="S135" s="354"/>
      <c r="T135" s="354"/>
    </row>
    <row r="136" spans="1:20">
      <c r="A136" s="354"/>
      <c r="B136" s="354"/>
      <c r="C136" s="354"/>
      <c r="D136" s="354"/>
      <c r="E136" s="354"/>
      <c r="F136" s="354"/>
      <c r="G136" s="354"/>
      <c r="H136" s="354"/>
      <c r="I136" s="354"/>
      <c r="J136" s="354"/>
      <c r="K136" s="354"/>
      <c r="L136" s="354"/>
      <c r="M136" s="354"/>
      <c r="N136" s="354"/>
      <c r="O136" s="354"/>
      <c r="P136" s="354"/>
      <c r="Q136" s="354"/>
      <c r="R136" s="354"/>
      <c r="S136" s="354"/>
      <c r="T136" s="354"/>
    </row>
    <row r="137" spans="1:20">
      <c r="A137" s="354"/>
      <c r="B137" s="354"/>
      <c r="C137" s="354"/>
      <c r="D137" s="354"/>
      <c r="E137" s="354"/>
      <c r="F137" s="354"/>
      <c r="G137" s="354"/>
      <c r="H137" s="354"/>
      <c r="I137" s="354"/>
      <c r="J137" s="354"/>
      <c r="K137" s="354"/>
      <c r="L137" s="354"/>
      <c r="M137" s="354"/>
      <c r="N137" s="354"/>
      <c r="O137" s="354"/>
      <c r="P137" s="354"/>
      <c r="Q137" s="354"/>
      <c r="R137" s="354"/>
      <c r="S137" s="354"/>
      <c r="T137" s="354"/>
    </row>
    <row r="138" spans="1:20">
      <c r="A138" s="354"/>
      <c r="B138" s="354"/>
      <c r="C138" s="354"/>
      <c r="D138" s="354"/>
      <c r="E138" s="354"/>
      <c r="F138" s="354"/>
      <c r="G138" s="354"/>
      <c r="H138" s="354"/>
      <c r="I138" s="354"/>
      <c r="J138" s="354"/>
      <c r="K138" s="354"/>
      <c r="L138" s="354"/>
      <c r="M138" s="354"/>
      <c r="N138" s="354"/>
      <c r="O138" s="354"/>
      <c r="P138" s="354"/>
      <c r="Q138" s="354"/>
      <c r="R138" s="354"/>
      <c r="S138" s="354"/>
      <c r="T138" s="354"/>
    </row>
    <row r="139" spans="1:20">
      <c r="A139" s="354"/>
      <c r="B139" s="354"/>
      <c r="C139" s="354"/>
      <c r="D139" s="354"/>
      <c r="E139" s="354"/>
      <c r="F139" s="354"/>
      <c r="G139" s="354"/>
      <c r="H139" s="354"/>
      <c r="I139" s="354"/>
      <c r="J139" s="354"/>
      <c r="K139" s="354"/>
      <c r="L139" s="354"/>
      <c r="M139" s="354"/>
      <c r="N139" s="354"/>
      <c r="O139" s="354"/>
      <c r="P139" s="354"/>
      <c r="Q139" s="354"/>
      <c r="R139" s="354"/>
      <c r="S139" s="354"/>
      <c r="T139" s="354"/>
    </row>
    <row r="140" spans="1:20">
      <c r="A140" s="354"/>
      <c r="B140" s="354"/>
      <c r="C140" s="354"/>
      <c r="D140" s="354"/>
      <c r="E140" s="354"/>
      <c r="F140" s="354"/>
      <c r="G140" s="354"/>
      <c r="H140" s="354"/>
      <c r="I140" s="354"/>
      <c r="J140" s="354"/>
      <c r="K140" s="354"/>
      <c r="L140" s="354"/>
      <c r="M140" s="354"/>
      <c r="N140" s="354"/>
      <c r="O140" s="354"/>
      <c r="P140" s="354"/>
      <c r="Q140" s="354"/>
      <c r="R140" s="354"/>
      <c r="S140" s="354"/>
      <c r="T140" s="354"/>
    </row>
    <row r="141" spans="1:20">
      <c r="A141" s="354"/>
      <c r="B141" s="354"/>
      <c r="C141" s="354"/>
      <c r="D141" s="354"/>
      <c r="E141" s="354"/>
      <c r="F141" s="354"/>
      <c r="G141" s="354"/>
      <c r="H141" s="354"/>
      <c r="I141" s="354"/>
      <c r="J141" s="354"/>
      <c r="K141" s="354"/>
      <c r="L141" s="354"/>
      <c r="M141" s="354"/>
      <c r="N141" s="354"/>
      <c r="O141" s="354"/>
      <c r="P141" s="354"/>
      <c r="Q141" s="354"/>
      <c r="R141" s="354"/>
      <c r="S141" s="354"/>
      <c r="T141" s="354"/>
    </row>
    <row r="142" spans="1:20">
      <c r="A142" s="354"/>
      <c r="B142" s="354"/>
      <c r="C142" s="354"/>
      <c r="D142" s="354"/>
      <c r="E142" s="354"/>
      <c r="F142" s="354"/>
      <c r="G142" s="354"/>
      <c r="H142" s="354"/>
      <c r="I142" s="354"/>
      <c r="J142" s="354"/>
      <c r="K142" s="354"/>
      <c r="L142" s="354"/>
      <c r="M142" s="354"/>
      <c r="N142" s="354"/>
      <c r="O142" s="354"/>
      <c r="P142" s="354"/>
      <c r="Q142" s="354"/>
      <c r="R142" s="354"/>
      <c r="S142" s="354"/>
      <c r="T142" s="354"/>
    </row>
    <row r="143" spans="1:20">
      <c r="A143" s="354"/>
      <c r="B143" s="354"/>
      <c r="C143" s="354"/>
      <c r="D143" s="354"/>
      <c r="E143" s="354"/>
      <c r="F143" s="354"/>
      <c r="G143" s="354"/>
      <c r="H143" s="354"/>
      <c r="I143" s="354"/>
      <c r="J143" s="354"/>
      <c r="K143" s="354"/>
      <c r="L143" s="354"/>
      <c r="M143" s="354"/>
      <c r="N143" s="354"/>
      <c r="O143" s="354"/>
      <c r="P143" s="354"/>
      <c r="Q143" s="354"/>
      <c r="R143" s="354"/>
      <c r="S143" s="354"/>
      <c r="T143" s="354"/>
    </row>
    <row r="144" spans="1:20">
      <c r="A144" s="354"/>
      <c r="B144" s="354"/>
      <c r="C144" s="354"/>
      <c r="D144" s="354"/>
      <c r="E144" s="354"/>
      <c r="F144" s="354"/>
      <c r="G144" s="354"/>
      <c r="H144" s="354"/>
      <c r="I144" s="354"/>
      <c r="J144" s="354"/>
      <c r="K144" s="354"/>
      <c r="L144" s="354"/>
      <c r="M144" s="354"/>
      <c r="N144" s="354"/>
      <c r="O144" s="354"/>
      <c r="P144" s="354"/>
      <c r="Q144" s="354"/>
      <c r="R144" s="354"/>
      <c r="S144" s="354"/>
      <c r="T144" s="354"/>
    </row>
    <row r="145" spans="1:20">
      <c r="A145" s="354"/>
      <c r="B145" s="354"/>
      <c r="C145" s="354"/>
      <c r="D145" s="354"/>
      <c r="E145" s="354"/>
      <c r="F145" s="354"/>
      <c r="G145" s="354"/>
      <c r="H145" s="354"/>
      <c r="I145" s="354"/>
      <c r="J145" s="354"/>
      <c r="K145" s="354"/>
      <c r="L145" s="354"/>
      <c r="M145" s="354"/>
      <c r="N145" s="354"/>
      <c r="O145" s="354"/>
      <c r="P145" s="354"/>
      <c r="Q145" s="354"/>
      <c r="R145" s="354"/>
      <c r="S145" s="354"/>
      <c r="T145" s="354"/>
    </row>
    <row r="146" spans="1:20">
      <c r="A146" s="354"/>
      <c r="B146" s="354"/>
      <c r="C146" s="354"/>
      <c r="D146" s="354"/>
      <c r="E146" s="354"/>
      <c r="F146" s="354"/>
      <c r="G146" s="354"/>
      <c r="H146" s="354"/>
      <c r="I146" s="354"/>
      <c r="J146" s="354"/>
      <c r="K146" s="354"/>
      <c r="L146" s="354"/>
      <c r="M146" s="354"/>
      <c r="N146" s="354"/>
      <c r="O146" s="354"/>
      <c r="P146" s="354"/>
      <c r="Q146" s="354"/>
      <c r="R146" s="354"/>
      <c r="S146" s="354"/>
      <c r="T146" s="354"/>
    </row>
    <row r="147" spans="1:20">
      <c r="A147" s="354"/>
      <c r="B147" s="354"/>
      <c r="C147" s="354"/>
      <c r="D147" s="354"/>
      <c r="E147" s="354"/>
      <c r="F147" s="354"/>
      <c r="G147" s="354"/>
      <c r="H147" s="354"/>
      <c r="I147" s="354"/>
      <c r="J147" s="354"/>
      <c r="K147" s="354"/>
      <c r="L147" s="354"/>
      <c r="M147" s="354"/>
      <c r="N147" s="354"/>
      <c r="O147" s="354"/>
      <c r="P147" s="354"/>
      <c r="Q147" s="354"/>
      <c r="R147" s="354"/>
      <c r="S147" s="354"/>
      <c r="T147" s="354"/>
    </row>
    <row r="148" spans="1:20">
      <c r="A148" s="354"/>
      <c r="B148" s="354"/>
      <c r="C148" s="354"/>
      <c r="D148" s="354"/>
      <c r="E148" s="354"/>
      <c r="F148" s="354"/>
      <c r="G148" s="354"/>
      <c r="H148" s="354"/>
      <c r="I148" s="354"/>
      <c r="J148" s="354"/>
      <c r="K148" s="354"/>
      <c r="L148" s="354"/>
      <c r="M148" s="354"/>
      <c r="N148" s="354"/>
      <c r="O148" s="354"/>
      <c r="P148" s="354"/>
      <c r="Q148" s="354"/>
      <c r="R148" s="354"/>
      <c r="S148" s="354"/>
      <c r="T148" s="354"/>
    </row>
    <row r="149" spans="1:20">
      <c r="A149" s="354"/>
      <c r="B149" s="354"/>
      <c r="C149" s="354"/>
      <c r="D149" s="354"/>
      <c r="E149" s="354"/>
      <c r="F149" s="354"/>
      <c r="G149" s="354"/>
      <c r="H149" s="354"/>
      <c r="I149" s="354"/>
      <c r="J149" s="354"/>
      <c r="K149" s="354"/>
      <c r="L149" s="354"/>
      <c r="M149" s="354"/>
      <c r="N149" s="354"/>
      <c r="O149" s="354"/>
      <c r="P149" s="354"/>
      <c r="Q149" s="354"/>
      <c r="R149" s="354"/>
      <c r="S149" s="354"/>
      <c r="T149" s="354"/>
    </row>
    <row r="150" spans="1:20">
      <c r="A150" s="354"/>
      <c r="B150" s="354"/>
      <c r="C150" s="354"/>
      <c r="D150" s="354"/>
      <c r="E150" s="354"/>
      <c r="F150" s="354"/>
      <c r="G150" s="354"/>
      <c r="H150" s="354"/>
      <c r="I150" s="354"/>
      <c r="J150" s="354"/>
      <c r="K150" s="354"/>
      <c r="L150" s="354"/>
      <c r="M150" s="354"/>
      <c r="N150" s="354"/>
      <c r="O150" s="354"/>
      <c r="P150" s="354"/>
      <c r="Q150" s="354"/>
      <c r="R150" s="354"/>
      <c r="S150" s="354"/>
      <c r="T150" s="354"/>
    </row>
    <row r="151" spans="1:20">
      <c r="A151" s="354"/>
      <c r="B151" s="354"/>
      <c r="C151" s="354"/>
      <c r="D151" s="354"/>
      <c r="E151" s="354"/>
      <c r="F151" s="354"/>
      <c r="G151" s="354"/>
      <c r="H151" s="354"/>
      <c r="I151" s="354"/>
      <c r="J151" s="354"/>
      <c r="K151" s="354"/>
      <c r="L151" s="354"/>
      <c r="M151" s="354"/>
      <c r="N151" s="354"/>
      <c r="O151" s="354"/>
      <c r="P151" s="354"/>
      <c r="Q151" s="354"/>
      <c r="R151" s="354"/>
      <c r="S151" s="354"/>
      <c r="T151" s="354"/>
    </row>
    <row r="152" spans="1:20">
      <c r="A152" s="354"/>
      <c r="B152" s="354"/>
      <c r="C152" s="354"/>
      <c r="D152" s="354"/>
      <c r="E152" s="354"/>
      <c r="F152" s="354"/>
      <c r="G152" s="354"/>
      <c r="H152" s="354"/>
      <c r="I152" s="354"/>
      <c r="J152" s="354"/>
      <c r="K152" s="354"/>
      <c r="L152" s="354"/>
      <c r="M152" s="354"/>
      <c r="N152" s="354"/>
      <c r="O152" s="354"/>
      <c r="P152" s="354"/>
      <c r="Q152" s="354"/>
      <c r="R152" s="354"/>
      <c r="S152" s="354"/>
      <c r="T152" s="354"/>
    </row>
    <row r="153" spans="1:20">
      <c r="A153" s="354"/>
      <c r="B153" s="354"/>
      <c r="C153" s="354"/>
      <c r="D153" s="354"/>
      <c r="E153" s="354"/>
      <c r="F153" s="354"/>
      <c r="G153" s="354"/>
      <c r="H153" s="354"/>
      <c r="I153" s="354"/>
      <c r="J153" s="354"/>
      <c r="K153" s="354"/>
      <c r="L153" s="354"/>
      <c r="M153" s="354"/>
      <c r="N153" s="354"/>
      <c r="O153" s="354"/>
      <c r="P153" s="354"/>
      <c r="Q153" s="354"/>
      <c r="R153" s="354"/>
      <c r="S153" s="354"/>
      <c r="T153" s="354"/>
    </row>
    <row r="154" spans="1:20">
      <c r="A154" s="354"/>
      <c r="B154" s="354"/>
      <c r="C154" s="354"/>
      <c r="D154" s="354"/>
      <c r="E154" s="354"/>
      <c r="F154" s="354"/>
      <c r="G154" s="354"/>
      <c r="H154" s="354"/>
      <c r="I154" s="354"/>
      <c r="J154" s="354"/>
      <c r="K154" s="354"/>
      <c r="L154" s="354"/>
      <c r="M154" s="354"/>
      <c r="N154" s="354"/>
      <c r="O154" s="354"/>
      <c r="P154" s="354"/>
      <c r="Q154" s="354"/>
      <c r="R154" s="354"/>
      <c r="S154" s="354"/>
      <c r="T154" s="354"/>
    </row>
    <row r="155" spans="1:20">
      <c r="A155" s="354"/>
      <c r="B155" s="354"/>
      <c r="C155" s="354"/>
      <c r="D155" s="354"/>
      <c r="E155" s="354"/>
      <c r="F155" s="354"/>
      <c r="G155" s="354"/>
      <c r="H155" s="354"/>
      <c r="I155" s="354"/>
      <c r="J155" s="354"/>
      <c r="K155" s="354"/>
      <c r="L155" s="354"/>
      <c r="M155" s="354"/>
      <c r="N155" s="354"/>
      <c r="O155" s="354"/>
      <c r="P155" s="354"/>
      <c r="Q155" s="354"/>
      <c r="R155" s="354"/>
      <c r="S155" s="354"/>
      <c r="T155" s="354"/>
    </row>
    <row r="156" spans="1:20">
      <c r="A156" s="354"/>
      <c r="B156" s="354"/>
      <c r="C156" s="354"/>
      <c r="D156" s="354"/>
      <c r="E156" s="354"/>
      <c r="F156" s="354"/>
      <c r="G156" s="354"/>
      <c r="H156" s="354"/>
      <c r="I156" s="354"/>
      <c r="J156" s="354"/>
      <c r="K156" s="354"/>
      <c r="L156" s="354"/>
      <c r="M156" s="354"/>
      <c r="N156" s="354"/>
      <c r="O156" s="354"/>
      <c r="P156" s="354"/>
      <c r="Q156" s="354"/>
      <c r="R156" s="354"/>
      <c r="S156" s="354"/>
      <c r="T156" s="354"/>
    </row>
    <row r="157" spans="1:20">
      <c r="A157" s="354"/>
      <c r="B157" s="354"/>
      <c r="C157" s="354"/>
      <c r="D157" s="354"/>
      <c r="E157" s="354"/>
      <c r="F157" s="354"/>
      <c r="G157" s="354"/>
      <c r="H157" s="354"/>
      <c r="I157" s="354"/>
      <c r="J157" s="354"/>
      <c r="K157" s="354"/>
      <c r="L157" s="354"/>
      <c r="M157" s="354"/>
      <c r="N157" s="354"/>
      <c r="O157" s="354"/>
      <c r="P157" s="354"/>
      <c r="Q157" s="354"/>
      <c r="R157" s="354"/>
      <c r="S157" s="354"/>
      <c r="T157" s="354"/>
    </row>
    <row r="158" spans="1:20">
      <c r="A158" s="354"/>
      <c r="B158" s="354"/>
      <c r="C158" s="354"/>
      <c r="D158" s="354"/>
      <c r="E158" s="354"/>
      <c r="F158" s="354"/>
      <c r="G158" s="354"/>
      <c r="H158" s="354"/>
      <c r="I158" s="354"/>
      <c r="J158" s="354"/>
      <c r="K158" s="354"/>
      <c r="L158" s="354"/>
      <c r="M158" s="354"/>
      <c r="N158" s="354"/>
      <c r="O158" s="354"/>
      <c r="P158" s="354"/>
      <c r="Q158" s="354"/>
      <c r="R158" s="354"/>
      <c r="S158" s="354"/>
      <c r="T158" s="354"/>
    </row>
    <row r="159" spans="1:20">
      <c r="A159" s="354"/>
      <c r="B159" s="354"/>
      <c r="C159" s="354"/>
      <c r="D159" s="354"/>
      <c r="E159" s="354"/>
      <c r="F159" s="354"/>
      <c r="G159" s="354"/>
      <c r="H159" s="354"/>
      <c r="I159" s="354"/>
      <c r="J159" s="354"/>
      <c r="K159" s="354"/>
      <c r="L159" s="354"/>
      <c r="M159" s="354"/>
      <c r="N159" s="354"/>
      <c r="O159" s="354"/>
      <c r="P159" s="354"/>
      <c r="Q159" s="354"/>
      <c r="R159" s="354"/>
      <c r="S159" s="354"/>
      <c r="T159" s="354"/>
    </row>
    <row r="160" spans="1:20">
      <c r="A160" s="354"/>
      <c r="B160" s="354"/>
      <c r="C160" s="354"/>
      <c r="D160" s="354"/>
      <c r="E160" s="354"/>
      <c r="F160" s="354"/>
      <c r="G160" s="354"/>
      <c r="H160" s="354"/>
      <c r="I160" s="354"/>
      <c r="J160" s="354"/>
      <c r="K160" s="354"/>
      <c r="L160" s="354"/>
      <c r="M160" s="354"/>
      <c r="N160" s="354"/>
      <c r="O160" s="354"/>
      <c r="P160" s="354"/>
      <c r="Q160" s="354"/>
      <c r="R160" s="354"/>
      <c r="S160" s="354"/>
      <c r="T160" s="354"/>
    </row>
    <row r="161" spans="1:20">
      <c r="A161" s="354"/>
      <c r="B161" s="354"/>
      <c r="C161" s="354"/>
      <c r="D161" s="354"/>
      <c r="E161" s="354"/>
      <c r="F161" s="354"/>
      <c r="G161" s="354"/>
      <c r="H161" s="354"/>
      <c r="I161" s="354"/>
      <c r="J161" s="354"/>
      <c r="K161" s="354"/>
      <c r="L161" s="354"/>
      <c r="M161" s="354"/>
      <c r="N161" s="354"/>
      <c r="O161" s="354"/>
      <c r="P161" s="354"/>
      <c r="Q161" s="354"/>
      <c r="R161" s="354"/>
      <c r="S161" s="354"/>
      <c r="T161" s="354"/>
    </row>
    <row r="162" spans="1:20">
      <c r="A162" s="354"/>
      <c r="B162" s="354"/>
      <c r="C162" s="354"/>
      <c r="D162" s="354"/>
      <c r="E162" s="354"/>
      <c r="F162" s="354"/>
      <c r="G162" s="354"/>
      <c r="H162" s="354"/>
      <c r="I162" s="354"/>
      <c r="J162" s="354"/>
      <c r="K162" s="354"/>
      <c r="L162" s="354"/>
      <c r="M162" s="354"/>
      <c r="N162" s="354"/>
      <c r="O162" s="354"/>
      <c r="P162" s="354"/>
      <c r="Q162" s="354"/>
      <c r="R162" s="354"/>
      <c r="S162" s="354"/>
      <c r="T162" s="354"/>
    </row>
    <row r="163" spans="1:20">
      <c r="A163" s="354"/>
      <c r="B163" s="354"/>
      <c r="C163" s="354"/>
      <c r="D163" s="354"/>
      <c r="E163" s="354"/>
      <c r="F163" s="354"/>
      <c r="G163" s="354"/>
      <c r="H163" s="354"/>
      <c r="I163" s="354"/>
      <c r="J163" s="354"/>
      <c r="K163" s="354"/>
      <c r="L163" s="354"/>
      <c r="M163" s="354"/>
      <c r="N163" s="354"/>
      <c r="O163" s="354"/>
      <c r="P163" s="354"/>
      <c r="Q163" s="354"/>
      <c r="R163" s="354"/>
      <c r="S163" s="354"/>
      <c r="T163" s="354"/>
    </row>
    <row r="164" spans="1:20">
      <c r="A164" s="354"/>
      <c r="B164" s="354"/>
      <c r="C164" s="354"/>
      <c r="D164" s="354"/>
      <c r="E164" s="354"/>
      <c r="F164" s="354"/>
      <c r="G164" s="354"/>
      <c r="H164" s="354"/>
      <c r="I164" s="354"/>
      <c r="J164" s="354"/>
      <c r="K164" s="354"/>
      <c r="L164" s="354"/>
      <c r="M164" s="354"/>
      <c r="N164" s="354"/>
      <c r="O164" s="354"/>
      <c r="P164" s="354"/>
      <c r="Q164" s="354"/>
      <c r="R164" s="354"/>
      <c r="S164" s="354"/>
      <c r="T164" s="354"/>
    </row>
    <row r="165" spans="1:20">
      <c r="A165" s="354"/>
      <c r="B165" s="354"/>
      <c r="C165" s="354"/>
      <c r="D165" s="354"/>
      <c r="E165" s="354"/>
      <c r="F165" s="354"/>
      <c r="G165" s="354"/>
      <c r="H165" s="354"/>
      <c r="I165" s="354"/>
      <c r="J165" s="354"/>
      <c r="K165" s="354"/>
      <c r="L165" s="354"/>
      <c r="M165" s="354"/>
      <c r="N165" s="354"/>
      <c r="O165" s="354"/>
      <c r="P165" s="354"/>
      <c r="Q165" s="354"/>
      <c r="R165" s="354"/>
      <c r="S165" s="354"/>
      <c r="T165" s="354"/>
    </row>
    <row r="166" spans="1:20">
      <c r="A166" s="354"/>
      <c r="B166" s="354"/>
      <c r="C166" s="354"/>
      <c r="D166" s="354"/>
      <c r="E166" s="354"/>
      <c r="F166" s="354"/>
      <c r="G166" s="354"/>
      <c r="H166" s="354"/>
      <c r="I166" s="354"/>
      <c r="J166" s="354"/>
      <c r="K166" s="354"/>
      <c r="L166" s="354"/>
      <c r="M166" s="354"/>
      <c r="N166" s="354"/>
      <c r="O166" s="354"/>
      <c r="P166" s="354"/>
      <c r="Q166" s="354"/>
      <c r="R166" s="354"/>
      <c r="S166" s="354"/>
      <c r="T166" s="354"/>
    </row>
    <row r="167" spans="1:20">
      <c r="A167" s="354"/>
      <c r="B167" s="354"/>
      <c r="C167" s="354"/>
      <c r="D167" s="354"/>
      <c r="E167" s="354"/>
      <c r="F167" s="354"/>
      <c r="G167" s="354"/>
      <c r="H167" s="354"/>
      <c r="I167" s="354"/>
      <c r="J167" s="354"/>
      <c r="K167" s="354"/>
      <c r="L167" s="354"/>
      <c r="M167" s="354"/>
      <c r="N167" s="354"/>
      <c r="O167" s="354"/>
      <c r="P167" s="354"/>
      <c r="Q167" s="354"/>
      <c r="R167" s="354"/>
      <c r="S167" s="354"/>
      <c r="T167" s="354"/>
    </row>
    <row r="168" spans="1:20">
      <c r="A168" s="354"/>
      <c r="B168" s="354"/>
      <c r="C168" s="354"/>
      <c r="D168" s="354"/>
      <c r="E168" s="354"/>
      <c r="F168" s="354"/>
      <c r="G168" s="354"/>
      <c r="H168" s="354"/>
      <c r="I168" s="354"/>
      <c r="J168" s="354"/>
      <c r="K168" s="354"/>
      <c r="L168" s="354"/>
      <c r="M168" s="354"/>
      <c r="N168" s="354"/>
      <c r="O168" s="354"/>
      <c r="P168" s="354"/>
      <c r="Q168" s="354"/>
      <c r="R168" s="354"/>
      <c r="S168" s="354"/>
      <c r="T168" s="354"/>
    </row>
    <row r="169" spans="1:20">
      <c r="A169" s="354"/>
      <c r="B169" s="354"/>
      <c r="C169" s="354"/>
      <c r="D169" s="354"/>
      <c r="E169" s="354"/>
      <c r="F169" s="354"/>
      <c r="G169" s="354"/>
      <c r="H169" s="354"/>
      <c r="I169" s="354"/>
      <c r="J169" s="354"/>
      <c r="K169" s="354"/>
      <c r="L169" s="354"/>
      <c r="M169" s="354"/>
      <c r="N169" s="354"/>
      <c r="O169" s="354"/>
      <c r="P169" s="354"/>
      <c r="Q169" s="354"/>
      <c r="R169" s="354"/>
      <c r="S169" s="354"/>
      <c r="T169" s="354"/>
    </row>
    <row r="170" spans="1:20">
      <c r="A170" s="354"/>
      <c r="B170" s="354"/>
      <c r="C170" s="354"/>
      <c r="D170" s="354"/>
      <c r="E170" s="354"/>
      <c r="F170" s="354"/>
      <c r="G170" s="354"/>
      <c r="H170" s="354"/>
      <c r="I170" s="354"/>
      <c r="J170" s="354"/>
      <c r="K170" s="354"/>
      <c r="L170" s="354"/>
      <c r="M170" s="354"/>
      <c r="N170" s="354"/>
      <c r="O170" s="354"/>
      <c r="P170" s="354"/>
      <c r="Q170" s="354"/>
      <c r="R170" s="354"/>
      <c r="S170" s="354"/>
      <c r="T170" s="354"/>
    </row>
    <row r="171" spans="1:20">
      <c r="A171" s="354"/>
      <c r="B171" s="354"/>
      <c r="C171" s="354"/>
      <c r="D171" s="354"/>
      <c r="E171" s="354"/>
      <c r="F171" s="354"/>
      <c r="G171" s="354"/>
      <c r="H171" s="354"/>
      <c r="I171" s="354"/>
      <c r="J171" s="354"/>
      <c r="K171" s="354"/>
      <c r="L171" s="354"/>
      <c r="M171" s="354"/>
      <c r="N171" s="354"/>
      <c r="O171" s="354"/>
      <c r="P171" s="354"/>
      <c r="Q171" s="354"/>
      <c r="R171" s="354"/>
      <c r="S171" s="354"/>
      <c r="T171" s="354"/>
    </row>
    <row r="172" spans="1:20">
      <c r="A172" s="354"/>
      <c r="B172" s="354"/>
      <c r="C172" s="354"/>
      <c r="D172" s="354"/>
      <c r="E172" s="354"/>
      <c r="F172" s="354"/>
      <c r="G172" s="354"/>
      <c r="H172" s="354"/>
      <c r="I172" s="354"/>
      <c r="J172" s="354"/>
      <c r="K172" s="354"/>
      <c r="L172" s="354"/>
      <c r="M172" s="354"/>
      <c r="N172" s="354"/>
      <c r="O172" s="354"/>
      <c r="P172" s="354"/>
      <c r="Q172" s="354"/>
      <c r="R172" s="354"/>
      <c r="S172" s="354"/>
      <c r="T172" s="354"/>
    </row>
    <row r="173" spans="1:20">
      <c r="A173" s="354"/>
      <c r="B173" s="354"/>
      <c r="C173" s="354"/>
      <c r="D173" s="354"/>
      <c r="E173" s="354"/>
      <c r="F173" s="354"/>
      <c r="G173" s="354"/>
      <c r="H173" s="354"/>
      <c r="I173" s="354"/>
      <c r="J173" s="354"/>
      <c r="K173" s="354"/>
      <c r="L173" s="354"/>
      <c r="M173" s="354"/>
      <c r="N173" s="354"/>
      <c r="O173" s="354"/>
      <c r="P173" s="354"/>
      <c r="Q173" s="354"/>
      <c r="R173" s="354"/>
      <c r="S173" s="354"/>
      <c r="T173" s="354"/>
    </row>
    <row r="174" spans="1:20">
      <c r="A174" s="354"/>
      <c r="B174" s="354"/>
      <c r="C174" s="354"/>
      <c r="D174" s="354"/>
      <c r="E174" s="354"/>
      <c r="F174" s="354"/>
      <c r="G174" s="354"/>
      <c r="H174" s="354"/>
      <c r="I174" s="354"/>
      <c r="J174" s="354"/>
      <c r="K174" s="354"/>
      <c r="L174" s="354"/>
      <c r="M174" s="354"/>
      <c r="N174" s="354"/>
      <c r="O174" s="354"/>
      <c r="P174" s="354"/>
      <c r="Q174" s="354"/>
      <c r="R174" s="354"/>
      <c r="S174" s="354"/>
      <c r="T174" s="354"/>
    </row>
    <row r="175" spans="1:20">
      <c r="A175" s="354"/>
      <c r="B175" s="354"/>
      <c r="C175" s="354"/>
      <c r="D175" s="354"/>
      <c r="E175" s="354"/>
      <c r="F175" s="354"/>
      <c r="G175" s="354"/>
      <c r="H175" s="354"/>
      <c r="I175" s="354"/>
      <c r="J175" s="354"/>
      <c r="K175" s="354"/>
      <c r="L175" s="354"/>
      <c r="M175" s="354"/>
      <c r="N175" s="354"/>
      <c r="O175" s="354"/>
      <c r="P175" s="354"/>
      <c r="Q175" s="354"/>
      <c r="R175" s="354"/>
      <c r="S175" s="354"/>
      <c r="T175" s="354"/>
    </row>
    <row r="176" spans="1:20">
      <c r="A176" s="354"/>
      <c r="B176" s="354"/>
      <c r="C176" s="354"/>
      <c r="D176" s="354"/>
      <c r="E176" s="354"/>
      <c r="F176" s="354"/>
      <c r="G176" s="354"/>
      <c r="H176" s="354"/>
      <c r="I176" s="354"/>
      <c r="J176" s="354"/>
      <c r="K176" s="354"/>
      <c r="L176" s="354"/>
      <c r="M176" s="354"/>
      <c r="N176" s="354"/>
      <c r="O176" s="354"/>
      <c r="P176" s="354"/>
      <c r="Q176" s="354"/>
      <c r="R176" s="354"/>
      <c r="S176" s="354"/>
      <c r="T176" s="354"/>
    </row>
    <row r="177" spans="1:20">
      <c r="A177" s="354"/>
      <c r="B177" s="354"/>
      <c r="C177" s="354"/>
      <c r="D177" s="354"/>
      <c r="E177" s="354"/>
      <c r="F177" s="354"/>
      <c r="G177" s="354"/>
      <c r="H177" s="354"/>
      <c r="I177" s="354"/>
      <c r="J177" s="354"/>
      <c r="K177" s="354"/>
      <c r="L177" s="354"/>
      <c r="M177" s="354"/>
      <c r="N177" s="354"/>
      <c r="O177" s="354"/>
      <c r="P177" s="354"/>
      <c r="Q177" s="354"/>
      <c r="R177" s="354"/>
      <c r="S177" s="354"/>
      <c r="T177" s="354"/>
    </row>
    <row r="178" spans="1:20">
      <c r="A178" s="354"/>
      <c r="B178" s="354"/>
      <c r="C178" s="354"/>
      <c r="D178" s="354"/>
      <c r="E178" s="354"/>
      <c r="F178" s="354"/>
      <c r="G178" s="354"/>
      <c r="H178" s="354"/>
      <c r="I178" s="354"/>
      <c r="J178" s="354"/>
      <c r="K178" s="354"/>
      <c r="L178" s="354"/>
      <c r="M178" s="354"/>
      <c r="N178" s="354"/>
      <c r="O178" s="354"/>
      <c r="P178" s="354"/>
      <c r="Q178" s="354"/>
      <c r="R178" s="354"/>
      <c r="S178" s="354"/>
      <c r="T178" s="354"/>
    </row>
    <row r="179" spans="1:20">
      <c r="A179" s="354"/>
      <c r="B179" s="354"/>
      <c r="C179" s="354"/>
      <c r="D179" s="354"/>
      <c r="E179" s="354"/>
      <c r="F179" s="354"/>
      <c r="G179" s="354"/>
      <c r="H179" s="354"/>
      <c r="I179" s="354"/>
      <c r="J179" s="354"/>
      <c r="K179" s="354"/>
      <c r="L179" s="354"/>
      <c r="M179" s="354"/>
      <c r="N179" s="354"/>
      <c r="O179" s="354"/>
      <c r="P179" s="354"/>
      <c r="Q179" s="354"/>
      <c r="R179" s="354"/>
      <c r="S179" s="354"/>
      <c r="T179" s="354"/>
    </row>
    <row r="180" spans="1:20">
      <c r="A180" s="354"/>
      <c r="B180" s="354"/>
      <c r="C180" s="354"/>
      <c r="D180" s="354"/>
      <c r="E180" s="354"/>
      <c r="F180" s="354"/>
      <c r="G180" s="354"/>
      <c r="H180" s="354"/>
      <c r="I180" s="354"/>
      <c r="J180" s="354"/>
      <c r="K180" s="354"/>
      <c r="L180" s="354"/>
      <c r="M180" s="354"/>
      <c r="N180" s="354"/>
      <c r="O180" s="354"/>
      <c r="P180" s="354"/>
      <c r="Q180" s="354"/>
      <c r="R180" s="354"/>
      <c r="S180" s="354"/>
      <c r="T180" s="354"/>
    </row>
    <row r="181" spans="1:20">
      <c r="A181" s="354"/>
      <c r="B181" s="354"/>
      <c r="C181" s="354"/>
      <c r="D181" s="354"/>
      <c r="E181" s="354"/>
      <c r="F181" s="354"/>
      <c r="G181" s="354"/>
      <c r="H181" s="354"/>
      <c r="I181" s="354"/>
      <c r="J181" s="354"/>
      <c r="K181" s="354"/>
      <c r="L181" s="354"/>
      <c r="M181" s="354"/>
      <c r="N181" s="354"/>
      <c r="O181" s="354"/>
      <c r="P181" s="354"/>
      <c r="Q181" s="354"/>
      <c r="R181" s="354"/>
      <c r="S181" s="354"/>
      <c r="T181" s="354"/>
    </row>
    <row r="182" spans="1:20">
      <c r="A182" s="354"/>
      <c r="B182" s="354"/>
      <c r="C182" s="354"/>
      <c r="D182" s="354"/>
      <c r="E182" s="354"/>
      <c r="F182" s="354"/>
      <c r="G182" s="354"/>
      <c r="H182" s="354"/>
      <c r="I182" s="354"/>
      <c r="J182" s="354"/>
      <c r="K182" s="354"/>
      <c r="L182" s="354"/>
      <c r="M182" s="354"/>
      <c r="N182" s="354"/>
      <c r="O182" s="354"/>
      <c r="P182" s="354"/>
      <c r="Q182" s="354"/>
      <c r="R182" s="354"/>
      <c r="S182" s="354"/>
      <c r="T182" s="354"/>
    </row>
    <row r="183" spans="1:20">
      <c r="A183" s="354"/>
      <c r="B183" s="354"/>
      <c r="C183" s="354"/>
      <c r="D183" s="354"/>
      <c r="E183" s="354"/>
      <c r="F183" s="354"/>
      <c r="G183" s="354"/>
      <c r="H183" s="354"/>
      <c r="I183" s="354"/>
      <c r="J183" s="354"/>
      <c r="K183" s="354"/>
      <c r="L183" s="354"/>
      <c r="M183" s="354"/>
      <c r="N183" s="354"/>
      <c r="O183" s="354"/>
      <c r="P183" s="354"/>
      <c r="Q183" s="354"/>
      <c r="R183" s="354"/>
      <c r="S183" s="354"/>
      <c r="T183" s="354"/>
    </row>
    <row r="184" spans="1:20">
      <c r="A184" s="354"/>
      <c r="B184" s="354"/>
      <c r="C184" s="354"/>
      <c r="D184" s="354"/>
      <c r="E184" s="354"/>
      <c r="F184" s="354"/>
      <c r="G184" s="354"/>
      <c r="H184" s="354"/>
      <c r="I184" s="354"/>
      <c r="J184" s="354"/>
      <c r="K184" s="354"/>
      <c r="L184" s="354"/>
      <c r="M184" s="354"/>
      <c r="N184" s="354"/>
      <c r="O184" s="354"/>
      <c r="P184" s="354"/>
      <c r="Q184" s="354"/>
      <c r="R184" s="354"/>
      <c r="S184" s="354"/>
      <c r="T184" s="354"/>
    </row>
    <row r="185" spans="1:20">
      <c r="A185" s="354"/>
      <c r="B185" s="354"/>
      <c r="C185" s="354"/>
      <c r="D185" s="354"/>
      <c r="E185" s="354"/>
      <c r="F185" s="354"/>
      <c r="G185" s="354"/>
      <c r="H185" s="354"/>
      <c r="I185" s="354"/>
      <c r="J185" s="354"/>
      <c r="K185" s="354"/>
      <c r="L185" s="354"/>
      <c r="M185" s="354"/>
      <c r="N185" s="354"/>
      <c r="O185" s="354"/>
      <c r="P185" s="354"/>
      <c r="Q185" s="354"/>
      <c r="R185" s="354"/>
      <c r="S185" s="354"/>
      <c r="T185" s="354"/>
    </row>
    <row r="186" spans="1:20">
      <c r="A186" s="354"/>
      <c r="B186" s="354"/>
      <c r="C186" s="354"/>
      <c r="D186" s="354"/>
      <c r="E186" s="354"/>
      <c r="F186" s="354"/>
      <c r="G186" s="354"/>
      <c r="H186" s="354"/>
      <c r="I186" s="354"/>
      <c r="J186" s="354"/>
      <c r="K186" s="354"/>
      <c r="L186" s="354"/>
      <c r="M186" s="354"/>
      <c r="N186" s="354"/>
      <c r="O186" s="354"/>
      <c r="P186" s="354"/>
      <c r="Q186" s="354"/>
      <c r="R186" s="354"/>
      <c r="S186" s="354"/>
      <c r="T186" s="354"/>
    </row>
    <row r="187" spans="1:20">
      <c r="A187" s="354"/>
      <c r="B187" s="354"/>
      <c r="C187" s="354"/>
      <c r="D187" s="354"/>
      <c r="E187" s="354"/>
      <c r="F187" s="354"/>
      <c r="G187" s="354"/>
      <c r="H187" s="354"/>
      <c r="I187" s="354"/>
      <c r="J187" s="354"/>
      <c r="K187" s="354"/>
      <c r="L187" s="354"/>
      <c r="M187" s="354"/>
      <c r="N187" s="354"/>
      <c r="O187" s="354"/>
      <c r="P187" s="354"/>
      <c r="Q187" s="354"/>
      <c r="R187" s="354"/>
      <c r="S187" s="354"/>
      <c r="T187" s="354"/>
    </row>
    <row r="188" spans="1:20">
      <c r="A188" s="354"/>
      <c r="B188" s="354"/>
      <c r="C188" s="354"/>
      <c r="D188" s="354"/>
      <c r="E188" s="354"/>
      <c r="F188" s="354"/>
      <c r="G188" s="354"/>
      <c r="H188" s="354"/>
      <c r="I188" s="354"/>
      <c r="J188" s="354"/>
      <c r="K188" s="354"/>
      <c r="L188" s="354"/>
      <c r="M188" s="354"/>
      <c r="N188" s="354"/>
      <c r="O188" s="354"/>
      <c r="P188" s="354"/>
      <c r="Q188" s="354"/>
      <c r="R188" s="354"/>
      <c r="S188" s="354"/>
      <c r="T188" s="354"/>
    </row>
    <row r="189" spans="1:20">
      <c r="A189" s="354"/>
      <c r="B189" s="354"/>
      <c r="C189" s="354"/>
      <c r="D189" s="354"/>
      <c r="E189" s="354"/>
      <c r="F189" s="354"/>
      <c r="G189" s="354"/>
      <c r="H189" s="354"/>
      <c r="I189" s="354"/>
      <c r="J189" s="354"/>
      <c r="K189" s="354"/>
      <c r="L189" s="354"/>
      <c r="M189" s="354"/>
      <c r="N189" s="354"/>
      <c r="O189" s="354"/>
      <c r="P189" s="354"/>
      <c r="Q189" s="354"/>
      <c r="R189" s="354"/>
      <c r="S189" s="354"/>
      <c r="T189" s="354"/>
    </row>
    <row r="190" spans="1:20">
      <c r="A190" s="354"/>
      <c r="B190" s="354"/>
      <c r="C190" s="354"/>
      <c r="D190" s="354"/>
      <c r="E190" s="354"/>
      <c r="F190" s="354"/>
      <c r="G190" s="354"/>
      <c r="H190" s="354"/>
      <c r="I190" s="354"/>
      <c r="J190" s="354"/>
      <c r="K190" s="354"/>
      <c r="L190" s="354"/>
      <c r="M190" s="354"/>
      <c r="N190" s="354"/>
      <c r="O190" s="354"/>
      <c r="P190" s="354"/>
      <c r="Q190" s="354"/>
      <c r="R190" s="354"/>
      <c r="S190" s="354"/>
      <c r="T190" s="354"/>
    </row>
    <row r="191" spans="1:20">
      <c r="A191" s="354"/>
      <c r="B191" s="354"/>
      <c r="C191" s="354"/>
      <c r="D191" s="354"/>
      <c r="E191" s="354"/>
      <c r="F191" s="354"/>
      <c r="G191" s="354"/>
      <c r="H191" s="354"/>
      <c r="I191" s="354"/>
      <c r="J191" s="354"/>
      <c r="K191" s="354"/>
      <c r="L191" s="354"/>
      <c r="M191" s="354"/>
      <c r="N191" s="354"/>
      <c r="O191" s="354"/>
      <c r="P191" s="354"/>
      <c r="Q191" s="354"/>
      <c r="R191" s="354"/>
      <c r="S191" s="354"/>
      <c r="T191" s="354"/>
    </row>
    <row r="192" spans="1:20">
      <c r="A192" s="354"/>
      <c r="B192" s="354"/>
      <c r="C192" s="354"/>
      <c r="D192" s="354"/>
      <c r="E192" s="354"/>
      <c r="F192" s="354"/>
      <c r="G192" s="354"/>
      <c r="H192" s="354"/>
      <c r="I192" s="354"/>
      <c r="J192" s="354"/>
      <c r="K192" s="354"/>
      <c r="L192" s="354"/>
      <c r="M192" s="354"/>
      <c r="N192" s="354"/>
      <c r="O192" s="354"/>
      <c r="P192" s="354"/>
      <c r="Q192" s="354"/>
      <c r="R192" s="354"/>
      <c r="S192" s="354"/>
      <c r="T192" s="354"/>
    </row>
    <row r="193" spans="1:20">
      <c r="A193" s="354"/>
      <c r="B193" s="354"/>
      <c r="C193" s="354"/>
      <c r="D193" s="354"/>
      <c r="E193" s="354"/>
      <c r="F193" s="354"/>
      <c r="G193" s="354"/>
      <c r="H193" s="354"/>
      <c r="I193" s="354"/>
      <c r="J193" s="354"/>
      <c r="K193" s="354"/>
      <c r="L193" s="354"/>
      <c r="M193" s="354"/>
      <c r="N193" s="354"/>
      <c r="O193" s="354"/>
      <c r="P193" s="354"/>
      <c r="Q193" s="354"/>
      <c r="R193" s="354"/>
      <c r="S193" s="354"/>
      <c r="T193" s="354"/>
    </row>
    <row r="194" spans="1:20">
      <c r="A194" s="354"/>
      <c r="B194" s="354"/>
      <c r="C194" s="354"/>
      <c r="D194" s="354"/>
      <c r="E194" s="354"/>
      <c r="F194" s="354"/>
      <c r="G194" s="354"/>
      <c r="H194" s="354"/>
      <c r="I194" s="354"/>
      <c r="J194" s="354"/>
      <c r="K194" s="354"/>
      <c r="L194" s="354"/>
      <c r="M194" s="354"/>
      <c r="N194" s="354"/>
      <c r="O194" s="354"/>
      <c r="P194" s="354"/>
      <c r="Q194" s="354"/>
      <c r="R194" s="354"/>
      <c r="S194" s="354"/>
      <c r="T194" s="354"/>
    </row>
    <row r="195" spans="1:20">
      <c r="A195" s="354"/>
      <c r="B195" s="354"/>
      <c r="C195" s="354"/>
      <c r="D195" s="354"/>
      <c r="E195" s="354"/>
      <c r="F195" s="354"/>
      <c r="G195" s="354"/>
      <c r="H195" s="354"/>
      <c r="I195" s="354"/>
      <c r="J195" s="354"/>
      <c r="K195" s="354"/>
      <c r="L195" s="354"/>
      <c r="M195" s="354"/>
      <c r="N195" s="354"/>
      <c r="O195" s="354"/>
      <c r="P195" s="354"/>
      <c r="Q195" s="354"/>
      <c r="R195" s="354"/>
      <c r="S195" s="354"/>
      <c r="T195" s="354"/>
    </row>
    <row r="196" spans="1:20">
      <c r="A196" s="354"/>
      <c r="B196" s="354"/>
      <c r="C196" s="354"/>
      <c r="D196" s="354"/>
      <c r="E196" s="354"/>
      <c r="F196" s="354"/>
      <c r="G196" s="354"/>
      <c r="H196" s="354"/>
      <c r="I196" s="354"/>
      <c r="J196" s="354"/>
      <c r="K196" s="354"/>
      <c r="L196" s="354"/>
      <c r="M196" s="354"/>
      <c r="N196" s="354"/>
      <c r="O196" s="354"/>
      <c r="P196" s="354"/>
      <c r="Q196" s="354"/>
      <c r="R196" s="354"/>
      <c r="S196" s="354"/>
      <c r="T196" s="354"/>
    </row>
    <row r="197" spans="1:20">
      <c r="A197" s="354"/>
      <c r="B197" s="354"/>
      <c r="C197" s="354"/>
      <c r="D197" s="354"/>
      <c r="E197" s="354"/>
      <c r="F197" s="354"/>
      <c r="G197" s="354"/>
      <c r="H197" s="354"/>
      <c r="I197" s="354"/>
      <c r="J197" s="354"/>
      <c r="K197" s="354"/>
      <c r="L197" s="354"/>
      <c r="M197" s="354"/>
      <c r="N197" s="354"/>
      <c r="O197" s="354"/>
      <c r="P197" s="354"/>
      <c r="Q197" s="354"/>
      <c r="R197" s="354"/>
      <c r="S197" s="354"/>
      <c r="T197" s="354"/>
    </row>
    <row r="198" spans="1:20">
      <c r="A198" s="354"/>
      <c r="B198" s="354"/>
      <c r="C198" s="354"/>
      <c r="D198" s="354"/>
      <c r="E198" s="354"/>
      <c r="F198" s="354"/>
      <c r="G198" s="354"/>
      <c r="H198" s="354"/>
      <c r="I198" s="354"/>
      <c r="J198" s="354"/>
      <c r="K198" s="354"/>
      <c r="L198" s="354"/>
      <c r="M198" s="354"/>
      <c r="N198" s="354"/>
      <c r="O198" s="354"/>
      <c r="P198" s="354"/>
      <c r="Q198" s="354"/>
      <c r="R198" s="354"/>
      <c r="S198" s="354"/>
      <c r="T198" s="354"/>
    </row>
    <row r="199" spans="1:20">
      <c r="A199" s="354"/>
      <c r="B199" s="354"/>
      <c r="C199" s="354"/>
      <c r="D199" s="354"/>
      <c r="E199" s="354"/>
      <c r="F199" s="354"/>
      <c r="G199" s="354"/>
      <c r="H199" s="354"/>
      <c r="I199" s="354"/>
      <c r="J199" s="354"/>
      <c r="K199" s="354"/>
      <c r="L199" s="354"/>
      <c r="M199" s="354"/>
      <c r="N199" s="354"/>
      <c r="O199" s="354"/>
      <c r="P199" s="354"/>
      <c r="Q199" s="354"/>
      <c r="R199" s="354"/>
      <c r="S199" s="354"/>
      <c r="T199" s="354"/>
    </row>
    <row r="200" spans="1:20">
      <c r="A200" s="354"/>
      <c r="B200" s="354"/>
      <c r="C200" s="354"/>
      <c r="D200" s="354"/>
      <c r="E200" s="354"/>
      <c r="F200" s="354"/>
      <c r="G200" s="354"/>
      <c r="H200" s="354"/>
      <c r="I200" s="354"/>
      <c r="J200" s="354"/>
      <c r="K200" s="354"/>
      <c r="L200" s="354"/>
      <c r="M200" s="354"/>
      <c r="N200" s="354"/>
      <c r="O200" s="354"/>
      <c r="P200" s="354"/>
      <c r="Q200" s="354"/>
      <c r="R200" s="354"/>
      <c r="S200" s="354"/>
      <c r="T200" s="354"/>
    </row>
    <row r="201" spans="1:20">
      <c r="A201" s="354"/>
      <c r="B201" s="354"/>
      <c r="C201" s="354"/>
      <c r="D201" s="354"/>
      <c r="E201" s="354"/>
      <c r="F201" s="354"/>
      <c r="G201" s="354"/>
      <c r="H201" s="354"/>
      <c r="I201" s="354"/>
      <c r="J201" s="354"/>
      <c r="K201" s="354"/>
      <c r="L201" s="354"/>
      <c r="M201" s="354"/>
      <c r="N201" s="354"/>
      <c r="O201" s="354"/>
      <c r="P201" s="354"/>
      <c r="Q201" s="354"/>
      <c r="R201" s="354"/>
      <c r="S201" s="354"/>
      <c r="T201" s="354"/>
    </row>
    <row r="202" spans="1:20">
      <c r="A202" s="354"/>
      <c r="B202" s="354"/>
      <c r="C202" s="354"/>
      <c r="D202" s="354"/>
      <c r="E202" s="354"/>
      <c r="F202" s="354"/>
      <c r="G202" s="354"/>
      <c r="H202" s="354"/>
      <c r="I202" s="354"/>
      <c r="J202" s="354"/>
      <c r="K202" s="354"/>
      <c r="L202" s="354"/>
      <c r="M202" s="354"/>
      <c r="N202" s="354"/>
      <c r="O202" s="354"/>
      <c r="P202" s="354"/>
      <c r="Q202" s="354"/>
      <c r="R202" s="354"/>
      <c r="S202" s="354"/>
      <c r="T202" s="354"/>
    </row>
    <row r="203" spans="1:20">
      <c r="A203" s="354"/>
      <c r="B203" s="354"/>
      <c r="C203" s="354"/>
      <c r="D203" s="354"/>
      <c r="E203" s="354"/>
      <c r="F203" s="354"/>
      <c r="G203" s="354"/>
      <c r="H203" s="354"/>
      <c r="I203" s="354"/>
      <c r="J203" s="354"/>
      <c r="K203" s="354"/>
      <c r="L203" s="354"/>
      <c r="M203" s="354"/>
      <c r="N203" s="354"/>
      <c r="O203" s="354"/>
      <c r="P203" s="354"/>
      <c r="Q203" s="354"/>
      <c r="R203" s="354"/>
      <c r="S203" s="354"/>
      <c r="T203" s="354"/>
    </row>
    <row r="204" spans="1:20">
      <c r="A204" s="354"/>
      <c r="B204" s="354"/>
      <c r="C204" s="354"/>
      <c r="D204" s="354"/>
      <c r="E204" s="354"/>
      <c r="F204" s="354"/>
      <c r="G204" s="354"/>
      <c r="H204" s="354"/>
      <c r="I204" s="354"/>
      <c r="J204" s="354"/>
      <c r="K204" s="354"/>
      <c r="L204" s="354"/>
      <c r="M204" s="354"/>
      <c r="N204" s="354"/>
      <c r="O204" s="354"/>
      <c r="P204" s="354"/>
      <c r="Q204" s="354"/>
      <c r="R204" s="354"/>
      <c r="S204" s="354"/>
      <c r="T204" s="354"/>
    </row>
  </sheetData>
  <sheetProtection formatCells="0" formatColumns="0" formatRows="0" insertRows="0" insertColumns="0" insertHyperlinks="0" deleteColumns="0" deleteRows="0" sort="0" autoFilter="0" pivotTables="0"/>
  <mergeCells count="4">
    <mergeCell ref="A1:C1"/>
    <mergeCell ref="A2:B2"/>
    <mergeCell ref="A3:A5"/>
    <mergeCell ref="A6:A1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B202"/>
  <sheetViews>
    <sheetView topLeftCell="A116" workbookViewId="0">
      <selection activeCell="F131" sqref="F131"/>
    </sheetView>
  </sheetViews>
  <sheetFormatPr defaultColWidth="9" defaultRowHeight="20.2" customHeight="1"/>
  <cols>
    <col min="1" max="1" width="8.66666666666667" style="135" customWidth="1"/>
    <col min="2" max="2" width="25.525" style="135" customWidth="1"/>
    <col min="3" max="3" width="9.66666666666667" style="135" customWidth="1"/>
    <col min="4" max="5" width="12.8" style="135" customWidth="1"/>
    <col min="6" max="6" width="25.525" style="135" customWidth="1"/>
    <col min="7" max="7" width="53.2666666666667" style="135" customWidth="1"/>
    <col min="8" max="8" width="49.9333333333333" style="135" customWidth="1"/>
    <col min="9" max="9" width="61.3333333333333" style="135" customWidth="1"/>
    <col min="10" max="10" width="39" style="136" customWidth="1"/>
    <col min="11" max="11" width="10.6666666666667" style="136" customWidth="1"/>
    <col min="12" max="12" width="16.6666666666667" style="136" customWidth="1"/>
    <col min="13" max="13" width="25.6666666666667" style="136" customWidth="1"/>
    <col min="14" max="15" width="14.0666666666667" style="136" customWidth="1"/>
    <col min="16" max="16" width="17.0666666666667" style="137" customWidth="1"/>
    <col min="17" max="17" width="13.6666666666667" style="137" customWidth="1"/>
    <col min="18" max="18" width="13.3333333333333" style="138" customWidth="1"/>
    <col min="19" max="19" width="17.2" style="138" customWidth="1"/>
    <col min="20" max="22" width="13.3333333333333" style="138" customWidth="1"/>
    <col min="23" max="23" width="31.8" style="136" customWidth="1"/>
    <col min="24" max="24" width="10.6666666666667" style="136" customWidth="1"/>
    <col min="25" max="25" width="31.8" style="139" customWidth="1"/>
    <col min="26" max="26" width="8.93333333333333" style="138" customWidth="1"/>
    <col min="27" max="28" width="12.9333333333333" style="140" customWidth="1"/>
    <col min="29" max="29" width="5.8" style="140" customWidth="1"/>
    <col min="30" max="30" width="8.475" style="136" customWidth="1"/>
    <col min="31" max="31" width="37.3333333333333" style="136" customWidth="1"/>
    <col min="32" max="34" width="12.9333333333333" style="136" customWidth="1"/>
    <col min="35" max="35" width="13" style="136" customWidth="1"/>
    <col min="36" max="36" width="11.7333333333333" style="136" customWidth="1"/>
    <col min="37" max="37" width="11.6666666666667" style="136" customWidth="1"/>
    <col min="38" max="38" width="9.525" style="136" customWidth="1"/>
    <col min="39" max="39" width="80.525" style="136" customWidth="1"/>
    <col min="40" max="40" width="31.475" style="136" customWidth="1"/>
    <col min="41" max="41" width="11.6666666666667" style="132" customWidth="1"/>
    <col min="42" max="42" width="31.475" style="132" customWidth="1"/>
    <col min="43" max="43" width="11.6666666666667" style="132" customWidth="1"/>
    <col min="44" max="44" width="18.3333333333333" style="132" customWidth="1"/>
    <col min="45" max="45" width="37.475" style="132" customWidth="1"/>
    <col min="46" max="46" width="7.525" style="132" customWidth="1"/>
    <col min="47" max="47" width="9.525" style="136" customWidth="1"/>
    <col min="48" max="48" width="7.525" style="136" customWidth="1"/>
    <col min="49" max="49" width="9.525" style="136" customWidth="1"/>
    <col min="50" max="50" width="9" style="136" customWidth="1"/>
    <col min="51" max="51" width="11.525" style="136" customWidth="1"/>
    <col min="52" max="52" width="167.066666666667" style="136" customWidth="1"/>
    <col min="53" max="54" width="9" style="136" customWidth="1"/>
  </cols>
  <sheetData>
    <row r="1" s="132" customFormat="1" ht="21.75" customHeight="1" spans="1:51">
      <c r="A1" s="141"/>
      <c r="B1" s="142"/>
      <c r="C1" s="143"/>
      <c r="D1" s="143"/>
      <c r="E1" s="144" t="str">
        <f>IF(ISNUMBER(SEARCH("海运",G4)),"海运，请选择1*20'或2*20'或1*40'或2*40’等",IF(ISNUMBER(SEARCH("铁路运输",G4)),"铁路运输，请选择1*20'或2*20'或1*40'或2*40’等","汽运请选择1*32吨汽车或2*32吨汽车"))</f>
        <v>汽运请选择1*32吨汽车或2*32吨汽车</v>
      </c>
      <c r="F1" s="142" t="s">
        <v>688</v>
      </c>
      <c r="G1" s="145" t="s">
        <v>689</v>
      </c>
      <c r="H1" s="141"/>
      <c r="I1" s="141"/>
      <c r="J1" s="142" t="s">
        <v>690</v>
      </c>
      <c r="K1" s="157" t="s">
        <v>73</v>
      </c>
      <c r="L1" s="157"/>
      <c r="M1" s="141"/>
      <c r="N1" s="141" t="s">
        <v>691</v>
      </c>
      <c r="O1" s="141"/>
      <c r="P1" s="180">
        <f>VLOOKUP(K1,客户基础数据!C:W,21,FALSE)</f>
        <v>2141020110</v>
      </c>
      <c r="Q1" s="217"/>
      <c r="R1" s="141" t="s">
        <v>692</v>
      </c>
      <c r="S1" s="141" t="str">
        <f>VLOOKUP(K1,客户基础数据!C:Z,24,FALSE)</f>
        <v>1363638888</v>
      </c>
      <c r="T1" s="141"/>
      <c r="U1" s="141"/>
      <c r="V1" s="218" t="s">
        <v>693</v>
      </c>
      <c r="W1" s="219" t="str">
        <f>VLOOKUP(P1,付款条款汇总!A:D,4,FALSE())</f>
        <v>南部</v>
      </c>
      <c r="X1" s="220"/>
      <c r="Y1" s="225"/>
      <c r="Z1" s="225"/>
      <c r="AA1" s="244"/>
      <c r="AB1" s="244"/>
      <c r="AC1" s="245"/>
      <c r="AD1" s="225"/>
      <c r="AE1" s="225"/>
      <c r="AF1" s="225"/>
      <c r="AG1" s="184"/>
      <c r="AH1" s="184"/>
      <c r="AI1" s="141"/>
      <c r="AJ1" s="155" t="s">
        <v>694</v>
      </c>
      <c r="AK1" s="269" t="s">
        <v>695</v>
      </c>
      <c r="AL1" s="269"/>
      <c r="AM1" s="269"/>
      <c r="AN1" s="141"/>
      <c r="AO1" s="141"/>
      <c r="AP1" s="141"/>
      <c r="AQ1" s="141"/>
      <c r="AR1" s="141" t="s">
        <v>696</v>
      </c>
      <c r="AS1" s="141" t="s">
        <v>696</v>
      </c>
      <c r="AT1" s="141" t="s">
        <v>696</v>
      </c>
      <c r="AU1" s="141" t="s">
        <v>696</v>
      </c>
      <c r="AW1" s="158" t="s">
        <v>697</v>
      </c>
      <c r="AX1" s="158" t="s">
        <v>697</v>
      </c>
      <c r="AY1" s="158" t="s">
        <v>697</v>
      </c>
    </row>
    <row r="2" s="132" customFormat="1" ht="21.75" customHeight="1" spans="1:51">
      <c r="A2" s="141"/>
      <c r="B2" s="146"/>
      <c r="C2" s="143"/>
      <c r="D2" s="143"/>
      <c r="E2" s="147"/>
      <c r="F2" s="148" t="s">
        <v>698</v>
      </c>
      <c r="G2" s="149" t="str">
        <f>TEXT(G3,"yyyymmdd")&amp;"001"</f>
        <v>20261001001</v>
      </c>
      <c r="H2" s="150" t="s">
        <v>699</v>
      </c>
      <c r="I2" s="155"/>
      <c r="J2" s="142" t="s">
        <v>700</v>
      </c>
      <c r="K2" s="181" t="str">
        <f>VLOOKUP(K1,客户基础数据!C1:E195,2,FALSE)</f>
        <v>CÔNG TY TNHH THƯƠNG MẠI HOÀNG THIÊN PHÁT</v>
      </c>
      <c r="L2" s="157"/>
      <c r="M2" s="141"/>
      <c r="N2" s="141" t="s">
        <v>701</v>
      </c>
      <c r="O2" s="141"/>
      <c r="P2" s="180" t="str">
        <f>VLOOKUP(K1,客户基础数据!C:V,5,FALSE)</f>
        <v>0316353410</v>
      </c>
      <c r="Q2" s="217"/>
      <c r="R2" s="141" t="s">
        <v>702</v>
      </c>
      <c r="S2" s="141" t="str">
        <f>VLOOKUP(K1,客户基础数据!C:Z,24,FALSE)</f>
        <v>1363638888</v>
      </c>
      <c r="T2" s="141"/>
      <c r="U2" s="141"/>
      <c r="V2" s="221" t="s">
        <v>13</v>
      </c>
      <c r="W2" s="220" t="s">
        <v>703</v>
      </c>
      <c r="X2" s="222" t="s">
        <v>704</v>
      </c>
      <c r="Y2" s="159"/>
      <c r="Z2" s="159"/>
      <c r="AA2" s="244"/>
      <c r="AB2" s="244"/>
      <c r="AC2" s="246"/>
      <c r="AD2" s="184"/>
      <c r="AE2" s="184"/>
      <c r="AF2" s="184"/>
      <c r="AG2" s="184"/>
      <c r="AH2" s="184"/>
      <c r="AI2" s="141"/>
      <c r="AJ2" s="141"/>
      <c r="AK2" s="269"/>
      <c r="AL2" s="269"/>
      <c r="AM2" s="269"/>
      <c r="AN2" s="141"/>
      <c r="AO2" s="141"/>
      <c r="AP2" s="141"/>
      <c r="AQ2" s="141"/>
      <c r="AR2" s="141" t="s">
        <v>705</v>
      </c>
      <c r="AS2" s="141" t="s">
        <v>65</v>
      </c>
      <c r="AT2" s="141" t="s">
        <v>706</v>
      </c>
      <c r="AU2" s="141" t="s">
        <v>707</v>
      </c>
      <c r="AW2" s="294" t="s">
        <v>708</v>
      </c>
      <c r="AX2" s="158" t="s">
        <v>709</v>
      </c>
      <c r="AY2" s="158" t="s">
        <v>710</v>
      </c>
    </row>
    <row r="3" s="132" customFormat="1" ht="21.75" customHeight="1" spans="1:51">
      <c r="A3" s="141"/>
      <c r="B3" s="146"/>
      <c r="C3" s="143"/>
      <c r="D3" s="143"/>
      <c r="E3" s="147"/>
      <c r="F3" s="146" t="s">
        <v>711</v>
      </c>
      <c r="G3" s="151">
        <v>46296</v>
      </c>
      <c r="H3" s="152" t="s">
        <v>712</v>
      </c>
      <c r="I3" s="152"/>
      <c r="J3" s="146" t="s">
        <v>713</v>
      </c>
      <c r="K3" s="181" t="str">
        <f>VLOOKUP(K1,客户基础数据!C1:H195,6,FALSE)</f>
        <v>387 Phan Văn Trị, Phường Bình Lợi Trung, TP Hồ Chí Minh, Việt Nam.</v>
      </c>
      <c r="L3" s="157"/>
      <c r="M3" s="141"/>
      <c r="N3" s="141" t="s">
        <v>714</v>
      </c>
      <c r="O3" s="141"/>
      <c r="P3" s="182" t="str">
        <f>VLOOKUP(K1,客户基础数据!C:V,8,FALSE)</f>
        <v>TRAN MINH HOANG</v>
      </c>
      <c r="Q3" s="217"/>
      <c r="R3" s="141" t="s">
        <v>715</v>
      </c>
      <c r="S3" s="141" t="str">
        <f>VLOOKUP(K1,客户基础数据!C:Y,22,FALSE)</f>
        <v>Ngân hàng TMCP Á Châu (ACB)</v>
      </c>
      <c r="T3" s="141"/>
      <c r="U3" s="141"/>
      <c r="V3" s="223" t="s">
        <v>14</v>
      </c>
      <c r="W3" s="219" t="str">
        <f>VLOOKUP(W2,客户地址信息汇总!K:N,4,FALSE())</f>
        <v>Anh Long（谅山）	</v>
      </c>
      <c r="X3" s="220"/>
      <c r="Y3" s="225"/>
      <c r="Z3" s="225"/>
      <c r="AA3" s="244"/>
      <c r="AB3" s="244"/>
      <c r="AC3" s="245"/>
      <c r="AD3" s="225"/>
      <c r="AE3" s="225"/>
      <c r="AF3" s="225"/>
      <c r="AG3" s="184"/>
      <c r="AH3" s="184"/>
      <c r="AI3" s="141"/>
      <c r="AJ3" s="155"/>
      <c r="AK3" s="270"/>
      <c r="AL3" s="270"/>
      <c r="AM3" s="270"/>
      <c r="AN3" s="141"/>
      <c r="AO3" s="141"/>
      <c r="AP3" s="141"/>
      <c r="AQ3" s="288"/>
      <c r="AR3" s="141" t="s">
        <v>716</v>
      </c>
      <c r="AS3" s="141" t="s">
        <v>108</v>
      </c>
      <c r="AT3" s="141" t="s">
        <v>717</v>
      </c>
      <c r="AU3" s="141" t="s">
        <v>718</v>
      </c>
      <c r="AW3" s="158" t="s">
        <v>719</v>
      </c>
      <c r="AX3" s="158" t="s">
        <v>720</v>
      </c>
      <c r="AY3" s="158" t="s">
        <v>721</v>
      </c>
    </row>
    <row r="4" s="132" customFormat="1" ht="21.75" customHeight="1" spans="1:51">
      <c r="A4" s="141"/>
      <c r="B4" s="153"/>
      <c r="C4" s="143"/>
      <c r="D4" s="143"/>
      <c r="E4" s="154"/>
      <c r="F4" s="155" t="s">
        <v>722</v>
      </c>
      <c r="G4" s="145" t="s">
        <v>723</v>
      </c>
      <c r="H4" s="152" t="s">
        <v>724</v>
      </c>
      <c r="I4" s="152"/>
      <c r="J4" s="146" t="s">
        <v>725</v>
      </c>
      <c r="K4" s="181" t="str">
        <f>VLOOKUP(K1,客户基础数据!C1:I195,7,FALSE)</f>
        <v>0939368123</v>
      </c>
      <c r="L4" s="157"/>
      <c r="M4" s="141"/>
      <c r="N4" s="141" t="s">
        <v>726</v>
      </c>
      <c r="O4" s="141"/>
      <c r="P4" s="183" t="str">
        <f>VLOOKUP(K1,客户基础数据!C:V,9,FALSE)</f>
        <v>陈明黄</v>
      </c>
      <c r="Q4" s="224"/>
      <c r="R4" s="225" t="s">
        <v>727</v>
      </c>
      <c r="S4" s="141" t="str">
        <f>VLOOKUP(K1,客户基础数据!C:Y,23,FALSE)</f>
        <v>亚洲贸易股份银行（ACB)</v>
      </c>
      <c r="T4" s="225"/>
      <c r="U4" s="225"/>
      <c r="V4" s="218" t="s">
        <v>728</v>
      </c>
      <c r="W4" s="219" t="str">
        <f>VLOOKUP(W2,客户地址信息汇总!K:N,2,FALSE())</f>
        <v>0942854827	</v>
      </c>
      <c r="X4" s="220"/>
      <c r="Y4" s="225"/>
      <c r="Z4" s="225"/>
      <c r="AA4" s="244"/>
      <c r="AB4" s="244"/>
      <c r="AC4" s="245"/>
      <c r="AD4" s="225"/>
      <c r="AE4" s="225"/>
      <c r="AF4" s="225"/>
      <c r="AG4" s="184"/>
      <c r="AH4" s="184"/>
      <c r="AI4" s="141"/>
      <c r="AJ4" s="155" t="s">
        <v>729</v>
      </c>
      <c r="AK4" s="271" t="s">
        <v>730</v>
      </c>
      <c r="AL4" s="271"/>
      <c r="AM4" s="271"/>
      <c r="AN4" s="141"/>
      <c r="AO4" s="141"/>
      <c r="AP4" s="141"/>
      <c r="AQ4" s="288"/>
      <c r="AR4" s="141" t="s">
        <v>731</v>
      </c>
      <c r="AS4" s="141" t="s">
        <v>86</v>
      </c>
      <c r="AT4" s="141" t="s">
        <v>732</v>
      </c>
      <c r="AU4" s="141" t="s">
        <v>733</v>
      </c>
      <c r="AW4" s="158" t="s">
        <v>734</v>
      </c>
      <c r="AX4" s="158" t="s">
        <v>735</v>
      </c>
      <c r="AY4" s="158" t="s">
        <v>736</v>
      </c>
    </row>
    <row r="5" s="132" customFormat="1" ht="21.75" customHeight="1" spans="1:50">
      <c r="A5" s="141"/>
      <c r="B5" s="155"/>
      <c r="C5" s="143"/>
      <c r="D5" s="143"/>
      <c r="E5" s="144" t="str">
        <f>IF(ISNUMBER(SEARCH("海运",G4)),"海运，请选择C&amp;F",IF(ISNUMBER(SEARCH("铁路运输",G4)),"铁路运输，请选择C&amp;F","汽运/RDC仓交付,请选择DAP"))</f>
        <v>汽运/RDC仓交付,请选择DAP</v>
      </c>
      <c r="F5" s="155" t="s">
        <v>737</v>
      </c>
      <c r="G5" s="145" t="s">
        <v>738</v>
      </c>
      <c r="H5" s="152"/>
      <c r="I5" s="152"/>
      <c r="J5" s="184"/>
      <c r="K5" s="185"/>
      <c r="L5" s="185"/>
      <c r="M5" s="141"/>
      <c r="N5" s="141" t="s">
        <v>739</v>
      </c>
      <c r="O5" s="141"/>
      <c r="P5" s="183" t="str">
        <f>VLOOKUP(K1,客户基础数据!C:V,10,FALSE)</f>
        <v>TỔNG GIÁM ĐỐC</v>
      </c>
      <c r="Q5" s="190"/>
      <c r="R5" s="159" t="s">
        <v>740</v>
      </c>
      <c r="S5" s="159" t="str">
        <f>VLOOKUP(K1,客户基础数据!C:AD,28,FALSE)</f>
        <v>越南胡志明市平盛郡潘文治路387号</v>
      </c>
      <c r="T5" s="159"/>
      <c r="U5" s="159"/>
      <c r="V5" s="221" t="s">
        <v>741</v>
      </c>
      <c r="W5" s="226" t="s">
        <v>96</v>
      </c>
      <c r="X5" s="227" t="str">
        <f>IF(W1="北部","暂不考虑RDC仓发货，支付条款请选择不涉及RDC仓","可以考虑RDC仓发货，支付条款请根据实际情况选择")</f>
        <v>可以考虑RDC仓发货，支付条款请根据实际情况选择</v>
      </c>
      <c r="Y5" s="184"/>
      <c r="Z5" s="184"/>
      <c r="AA5" s="244"/>
      <c r="AB5" s="244"/>
      <c r="AC5" s="247"/>
      <c r="AD5" s="184"/>
      <c r="AE5" s="184"/>
      <c r="AF5" s="184"/>
      <c r="AG5" s="184"/>
      <c r="AH5" s="184"/>
      <c r="AI5" s="141"/>
      <c r="AJ5" s="141"/>
      <c r="AK5" s="271"/>
      <c r="AL5" s="271"/>
      <c r="AM5" s="271"/>
      <c r="AN5" s="141"/>
      <c r="AO5" s="141"/>
      <c r="AP5" s="141"/>
      <c r="AQ5" s="288"/>
      <c r="AR5" s="141" t="s">
        <v>689</v>
      </c>
      <c r="AS5" s="141" t="s">
        <v>742</v>
      </c>
      <c r="AT5" s="141" t="s">
        <v>738</v>
      </c>
      <c r="AU5" s="141" t="s">
        <v>743</v>
      </c>
      <c r="AX5" s="158" t="s">
        <v>744</v>
      </c>
    </row>
    <row r="6" s="132" customFormat="1" ht="21.75" customHeight="1" spans="1:50">
      <c r="A6" s="141"/>
      <c r="B6" s="155"/>
      <c r="C6" s="143"/>
      <c r="D6" s="143"/>
      <c r="E6" s="144" t="str">
        <f>IF(ISNUMBER(SEARCH("海运",G4)),"海运，请选择HAI PHONG或者CAT LAI PORT, HCM或者DA NANG,VIETNAM",IF(ISNUMBER(SEARCH("铁路运输",G4)),"铁路运输，YENVIEN，VIETNAM","汽运或铁路运输请选择CHI MA,LAN SON或HUU NGHI ,LANSON"))</f>
        <v>汽运或铁路运输请选择CHI MA,LAN SON或HUU NGHI ,LANSON</v>
      </c>
      <c r="F6" s="155" t="s">
        <v>745</v>
      </c>
      <c r="G6" s="156" t="s">
        <v>65</v>
      </c>
      <c r="H6" s="152" t="s">
        <v>746</v>
      </c>
      <c r="I6" s="152"/>
      <c r="J6" s="159"/>
      <c r="K6" s="186"/>
      <c r="L6" s="186"/>
      <c r="M6" s="141"/>
      <c r="N6" s="141" t="s">
        <v>747</v>
      </c>
      <c r="O6" s="141"/>
      <c r="P6" s="183" t="str">
        <f>VLOOKUP(K1,客户基础数据!C:V,11,FALSE)</f>
        <v>总经理</v>
      </c>
      <c r="Q6" s="190"/>
      <c r="R6" s="159"/>
      <c r="S6" s="159"/>
      <c r="T6" s="159"/>
      <c r="U6" s="159"/>
      <c r="V6" s="159"/>
      <c r="W6" s="220"/>
      <c r="X6" s="220"/>
      <c r="Y6" s="184"/>
      <c r="Z6" s="184"/>
      <c r="AA6" s="244"/>
      <c r="AB6" s="244"/>
      <c r="AC6" s="247"/>
      <c r="AD6" s="184"/>
      <c r="AE6" s="184"/>
      <c r="AF6" s="184"/>
      <c r="AG6" s="184"/>
      <c r="AH6" s="184"/>
      <c r="AI6" s="272" t="s">
        <v>748</v>
      </c>
      <c r="AJ6" s="273">
        <f>AD127</f>
        <v>971.4</v>
      </c>
      <c r="AK6" s="274" t="s">
        <v>749</v>
      </c>
      <c r="AL6" s="191"/>
      <c r="AM6" s="191"/>
      <c r="AN6" s="141"/>
      <c r="AO6" s="141"/>
      <c r="AP6" s="141"/>
      <c r="AQ6" s="288"/>
      <c r="AR6" s="141" t="s">
        <v>750</v>
      </c>
      <c r="AS6" s="141" t="s">
        <v>751</v>
      </c>
      <c r="AT6" s="141"/>
      <c r="AU6" s="141"/>
      <c r="AX6" s="158" t="s">
        <v>752</v>
      </c>
    </row>
    <row r="7" s="132" customFormat="1" ht="21.75" customHeight="1" spans="1:50">
      <c r="A7" s="141"/>
      <c r="B7" s="155"/>
      <c r="C7" s="143"/>
      <c r="D7" s="143"/>
      <c r="E7" s="143"/>
      <c r="F7" s="155" t="s">
        <v>753</v>
      </c>
      <c r="G7" s="157" t="s">
        <v>754</v>
      </c>
      <c r="H7" s="146"/>
      <c r="I7" s="146"/>
      <c r="J7" s="159"/>
      <c r="K7" s="186"/>
      <c r="L7" s="186"/>
      <c r="M7" s="141"/>
      <c r="N7" s="141"/>
      <c r="O7" s="187"/>
      <c r="P7" s="188"/>
      <c r="Q7" s="188"/>
      <c r="R7" s="159"/>
      <c r="S7" s="159"/>
      <c r="T7" s="159"/>
      <c r="U7" s="159"/>
      <c r="V7" s="159"/>
      <c r="W7" s="220"/>
      <c r="X7" s="220"/>
      <c r="Y7" s="184"/>
      <c r="Z7" s="184"/>
      <c r="AA7" s="244"/>
      <c r="AB7" s="244"/>
      <c r="AC7" s="247"/>
      <c r="AD7" s="184"/>
      <c r="AE7" s="184"/>
      <c r="AF7" s="184"/>
      <c r="AG7" s="184"/>
      <c r="AH7" s="184"/>
      <c r="AI7" s="272" t="s">
        <v>755</v>
      </c>
      <c r="AJ7" s="273">
        <f>ROUND(AI127,1)</f>
        <v>0.1</v>
      </c>
      <c r="AK7" s="274" t="s">
        <v>756</v>
      </c>
      <c r="AL7" s="191"/>
      <c r="AM7" s="191"/>
      <c r="AN7" s="141"/>
      <c r="AO7" s="141"/>
      <c r="AP7" s="141"/>
      <c r="AQ7" s="288"/>
      <c r="AR7" s="141" t="s">
        <v>757</v>
      </c>
      <c r="AS7" s="141" t="s">
        <v>758</v>
      </c>
      <c r="AT7" s="141"/>
      <c r="AU7" s="141"/>
      <c r="AX7" s="158" t="s">
        <v>759</v>
      </c>
    </row>
    <row r="8" s="132" customFormat="1" ht="21.75" customHeight="1" spans="1:50">
      <c r="A8" s="141"/>
      <c r="B8" s="143"/>
      <c r="C8" s="158" t="s">
        <v>760</v>
      </c>
      <c r="D8" s="143"/>
      <c r="E8" s="143"/>
      <c r="F8" s="143"/>
      <c r="G8" s="159"/>
      <c r="H8" s="159"/>
      <c r="I8" s="159"/>
      <c r="J8" s="159"/>
      <c r="K8" s="159"/>
      <c r="L8" s="155"/>
      <c r="M8" s="189"/>
      <c r="N8" s="189"/>
      <c r="O8" s="189"/>
      <c r="P8" s="190"/>
      <c r="Q8" s="190"/>
      <c r="R8" s="159"/>
      <c r="S8" s="159"/>
      <c r="T8" s="159"/>
      <c r="U8" s="159"/>
      <c r="V8" s="159"/>
      <c r="W8" s="189"/>
      <c r="X8" s="189"/>
      <c r="Y8" s="184"/>
      <c r="Z8" s="184"/>
      <c r="AA8" s="247"/>
      <c r="AB8" s="247"/>
      <c r="AC8" s="247"/>
      <c r="AD8" s="184"/>
      <c r="AE8" s="184"/>
      <c r="AF8" s="184"/>
      <c r="AG8" s="184"/>
      <c r="AH8" s="184"/>
      <c r="AI8" s="272" t="s">
        <v>761</v>
      </c>
      <c r="AJ8" s="275">
        <f>COUNTA(L12:L125)</f>
        <v>5</v>
      </c>
      <c r="AK8" s="274" t="s">
        <v>762</v>
      </c>
      <c r="AL8" s="191"/>
      <c r="AM8" s="191"/>
      <c r="AN8" s="141"/>
      <c r="AO8" s="141"/>
      <c r="AP8" s="141"/>
      <c r="AQ8" s="289"/>
      <c r="AR8" s="141" t="s">
        <v>763</v>
      </c>
      <c r="AS8" s="141" t="s">
        <v>764</v>
      </c>
      <c r="AT8" s="141"/>
      <c r="AU8" s="141"/>
      <c r="AX8" s="158" t="s">
        <v>765</v>
      </c>
    </row>
    <row r="9" s="132" customFormat="1" ht="21.75" customHeight="1" spans="1:50">
      <c r="A9" s="160" t="s">
        <v>766</v>
      </c>
      <c r="B9" s="143"/>
      <c r="C9" s="141"/>
      <c r="D9" s="143"/>
      <c r="E9" s="143"/>
      <c r="F9" s="143"/>
      <c r="G9" s="159" t="s">
        <v>767</v>
      </c>
      <c r="H9" s="159"/>
      <c r="I9" s="159"/>
      <c r="J9" s="159"/>
      <c r="K9" s="159"/>
      <c r="L9" s="191" t="s">
        <v>768</v>
      </c>
      <c r="M9" s="141"/>
      <c r="N9" s="147"/>
      <c r="O9" s="147"/>
      <c r="P9" s="192"/>
      <c r="Q9" s="188"/>
      <c r="R9" s="159"/>
      <c r="S9" s="159"/>
      <c r="T9" s="159"/>
      <c r="U9" s="159"/>
      <c r="V9" s="159"/>
      <c r="W9" s="143"/>
      <c r="X9" s="143"/>
      <c r="Y9" s="184"/>
      <c r="Z9" s="184"/>
      <c r="AA9" s="247"/>
      <c r="AB9" s="247"/>
      <c r="AC9" s="247"/>
      <c r="AD9" s="184"/>
      <c r="AE9" s="248" t="s">
        <v>769</v>
      </c>
      <c r="AF9" s="248"/>
      <c r="AG9" s="184"/>
      <c r="AH9" s="184"/>
      <c r="AI9" s="272" t="s">
        <v>770</v>
      </c>
      <c r="AJ9" s="276">
        <f>AJ127</f>
        <v>0</v>
      </c>
      <c r="AK9" s="274" t="s">
        <v>771</v>
      </c>
      <c r="AL9" s="191"/>
      <c r="AM9" s="191"/>
      <c r="AN9" s="141"/>
      <c r="AO9" s="141"/>
      <c r="AP9" s="141"/>
      <c r="AQ9" s="289"/>
      <c r="AR9" s="141" t="s">
        <v>772</v>
      </c>
      <c r="AS9" s="141"/>
      <c r="AT9" s="141"/>
      <c r="AU9" s="141"/>
      <c r="AX9" s="158" t="s">
        <v>773</v>
      </c>
    </row>
    <row r="10" customHeight="1" spans="1:50">
      <c r="A10" s="141"/>
      <c r="B10" s="161" t="s">
        <v>774</v>
      </c>
      <c r="C10" s="161"/>
      <c r="D10" s="161" t="s">
        <v>775</v>
      </c>
      <c r="E10" s="161" t="s">
        <v>776</v>
      </c>
      <c r="F10" s="161" t="s">
        <v>777</v>
      </c>
      <c r="G10" s="161" t="s">
        <v>778</v>
      </c>
      <c r="H10" s="161" t="s">
        <v>779</v>
      </c>
      <c r="I10" s="161" t="s">
        <v>780</v>
      </c>
      <c r="J10" s="161" t="s">
        <v>780</v>
      </c>
      <c r="K10" s="193" t="s">
        <v>781</v>
      </c>
      <c r="L10" s="194" t="s">
        <v>782</v>
      </c>
      <c r="M10" s="195" t="s">
        <v>783</v>
      </c>
      <c r="N10" s="194" t="s">
        <v>784</v>
      </c>
      <c r="O10" s="196" t="s">
        <v>785</v>
      </c>
      <c r="P10" s="197" t="s">
        <v>786</v>
      </c>
      <c r="Q10" s="228" t="s">
        <v>787</v>
      </c>
      <c r="R10" s="229" t="s">
        <v>788</v>
      </c>
      <c r="S10" s="230" t="s">
        <v>789</v>
      </c>
      <c r="T10" s="229" t="s">
        <v>790</v>
      </c>
      <c r="U10" s="229" t="s">
        <v>791</v>
      </c>
      <c r="V10" s="229" t="s">
        <v>792</v>
      </c>
      <c r="W10" s="231" t="s">
        <v>793</v>
      </c>
      <c r="X10" s="231" t="s">
        <v>794</v>
      </c>
      <c r="Y10" s="249" t="s">
        <v>795</v>
      </c>
      <c r="Z10" s="250"/>
      <c r="AA10" s="251"/>
      <c r="AB10" s="251"/>
      <c r="AC10" s="252"/>
      <c r="AD10" s="253"/>
      <c r="AE10" s="229" t="s">
        <v>796</v>
      </c>
      <c r="AF10" s="254"/>
      <c r="AG10" s="233" t="s">
        <v>797</v>
      </c>
      <c r="AH10" s="233" t="s">
        <v>798</v>
      </c>
      <c r="AI10" s="141"/>
      <c r="AJ10" s="141"/>
      <c r="AK10" s="141"/>
      <c r="AL10" s="141"/>
      <c r="AM10" s="141"/>
      <c r="AN10" s="141"/>
      <c r="AO10" s="141"/>
      <c r="AP10" s="141"/>
      <c r="AQ10" s="141"/>
      <c r="AR10" s="141" t="s">
        <v>799</v>
      </c>
      <c r="AS10" s="141"/>
      <c r="AT10" s="141"/>
      <c r="AU10" s="141"/>
      <c r="AX10" s="158" t="s">
        <v>800</v>
      </c>
    </row>
    <row r="11" customHeight="1" spans="1:51">
      <c r="A11" s="162"/>
      <c r="B11" s="163"/>
      <c r="C11" s="163"/>
      <c r="D11" s="163"/>
      <c r="E11" s="163"/>
      <c r="F11" s="163"/>
      <c r="G11" s="163" t="s">
        <v>801</v>
      </c>
      <c r="H11" s="163" t="s">
        <v>802</v>
      </c>
      <c r="I11" s="163" t="s">
        <v>803</v>
      </c>
      <c r="J11" s="163" t="s">
        <v>803</v>
      </c>
      <c r="K11" s="198" t="s">
        <v>804</v>
      </c>
      <c r="L11" s="199" t="s">
        <v>805</v>
      </c>
      <c r="M11" s="200" t="s">
        <v>806</v>
      </c>
      <c r="N11" s="201" t="s">
        <v>806</v>
      </c>
      <c r="O11" s="201"/>
      <c r="P11" s="202" t="s">
        <v>807</v>
      </c>
      <c r="Q11" s="202" t="s">
        <v>807</v>
      </c>
      <c r="R11" s="198" t="s">
        <v>807</v>
      </c>
      <c r="S11" s="232" t="s">
        <v>808</v>
      </c>
      <c r="T11" s="198" t="s">
        <v>807</v>
      </c>
      <c r="U11" s="198" t="s">
        <v>807</v>
      </c>
      <c r="V11" s="198" t="s">
        <v>807</v>
      </c>
      <c r="W11" s="233"/>
      <c r="X11" s="233"/>
      <c r="Y11" s="233" t="s">
        <v>809</v>
      </c>
      <c r="Z11" s="165" t="s">
        <v>810</v>
      </c>
      <c r="AA11" s="255" t="s">
        <v>811</v>
      </c>
      <c r="AB11" s="256"/>
      <c r="AC11" s="257"/>
      <c r="AD11" s="170" t="s">
        <v>809</v>
      </c>
      <c r="AE11" s="170" t="s">
        <v>810</v>
      </c>
      <c r="AF11" s="258" t="s">
        <v>812</v>
      </c>
      <c r="AG11" s="233"/>
      <c r="AH11" s="233"/>
      <c r="AI11" s="277" t="s">
        <v>813</v>
      </c>
      <c r="AJ11" s="277" t="s">
        <v>814</v>
      </c>
      <c r="AK11" s="277" t="s">
        <v>815</v>
      </c>
      <c r="AL11" s="153" t="s">
        <v>816</v>
      </c>
      <c r="AM11" s="141"/>
      <c r="AN11" s="141"/>
      <c r="AO11" s="141"/>
      <c r="AP11" s="141"/>
      <c r="AQ11" s="141"/>
      <c r="AR11" s="141"/>
      <c r="AS11" s="141"/>
      <c r="AT11" s="141"/>
      <c r="AU11" s="141"/>
      <c r="AY11" s="158" t="s">
        <v>817</v>
      </c>
    </row>
    <row r="12" customHeight="1" spans="1:51">
      <c r="A12" s="162" t="str">
        <f>IF(N12&lt;&gt;0,1,"")</f>
        <v/>
      </c>
      <c r="B12" s="164" t="s">
        <v>818</v>
      </c>
      <c r="C12" s="165" t="str">
        <f>IFERROR(RANK(A12,$A$12:$A$125,0)+COUNTIFS(A$12:A12,A12)-1,"")</f>
        <v/>
      </c>
      <c r="D12" s="166" t="s">
        <v>819</v>
      </c>
      <c r="E12" s="165" t="s">
        <v>820</v>
      </c>
      <c r="F12" s="167" t="s">
        <v>818</v>
      </c>
      <c r="G12" s="167" t="s">
        <v>821</v>
      </c>
      <c r="H12" s="168" t="s">
        <v>822</v>
      </c>
      <c r="I12" s="203" t="s">
        <v>823</v>
      </c>
      <c r="J12" s="203" t="s">
        <v>824</v>
      </c>
      <c r="K12" s="203">
        <v>226600</v>
      </c>
      <c r="L12" s="204"/>
      <c r="M12" s="204"/>
      <c r="N12" s="205">
        <f t="shared" ref="N12:N75" si="0">L12+M12</f>
        <v>0</v>
      </c>
      <c r="O12" s="206" t="e">
        <f t="shared" ref="O12:O75" si="1">IF(M12/N12&gt;1/9,"大于8送1",IF(ABS(M12/N12-1/9)&lt;0.0001,"8送1",IF(M12/N12&lt;1/9,IF(M12/N12&gt;1/10,"8送1和9送1之间",IF(ABS(M12/N12-1/10)&lt;0.0001,"9送1",IF(M12/N12&lt;1/10,IF(M12/N12&gt;1/11,"9送1和10送1之间",IF(ABS(M12/N12-1/11)&lt;0.0001,"10送1","小于10送1"))))))))</f>
        <v>#DIV/0!</v>
      </c>
      <c r="P12" s="207">
        <f t="shared" ref="P12:P75" si="2">K12*L12</f>
        <v>0</v>
      </c>
      <c r="Q12" s="234">
        <f t="shared" ref="Q12:Q75" si="3">K12*M12</f>
        <v>0</v>
      </c>
      <c r="R12" s="235">
        <f t="shared" ref="R12:R75" si="4">N12*K12</f>
        <v>0</v>
      </c>
      <c r="S12" s="236">
        <v>0.08</v>
      </c>
      <c r="T12" s="235">
        <f t="shared" ref="T12:T75" si="5">P12*(1+$S12)</f>
        <v>0</v>
      </c>
      <c r="U12" s="235">
        <f t="shared" ref="U12:U75" si="6">Q12*(1+$S12)</f>
        <v>0</v>
      </c>
      <c r="V12" s="235">
        <f t="shared" ref="V12:V75" si="7">R12*(1+$S12)</f>
        <v>0</v>
      </c>
      <c r="W12" s="237" t="str">
        <f t="shared" ref="W12:W75" si="8">"海天牌"&amp;F12</f>
        <v>海天牌招牌味极鲜酿造酱油</v>
      </c>
      <c r="X12" s="238" t="s">
        <v>825</v>
      </c>
      <c r="Y12" s="259" t="s">
        <v>826</v>
      </c>
      <c r="Z12" s="260" t="s">
        <v>827</v>
      </c>
      <c r="AA12" s="261">
        <v>0.273</v>
      </c>
      <c r="AB12" s="261">
        <v>0.181</v>
      </c>
      <c r="AC12" s="261">
        <v>0.277</v>
      </c>
      <c r="AD12" s="262">
        <f t="shared" ref="AD12:AD75" si="9">(L12+M12)*Y12</f>
        <v>0</v>
      </c>
      <c r="AE12" s="262">
        <f t="shared" ref="AE12:AE75" si="10">(L12+M12)*Z12</f>
        <v>0</v>
      </c>
      <c r="AF12" s="263">
        <f t="shared" ref="AF12:AF75" si="11">ROUND((L12+M12)*AA12*AB12*AC12,2)</f>
        <v>0</v>
      </c>
      <c r="AG12" s="278" t="s">
        <v>828</v>
      </c>
      <c r="AH12" s="278" t="s">
        <v>829</v>
      </c>
      <c r="AI12" s="244">
        <f t="shared" ref="AI12:AI75" si="12">(L12+M12)/AG12</f>
        <v>0</v>
      </c>
      <c r="AJ12" s="244">
        <f t="shared" ref="AJ12:AJ75" si="13">ROUNDDOWN(AI12/0.95,0)</f>
        <v>0</v>
      </c>
      <c r="AK12" s="244">
        <f t="shared" ref="AK12:AK51" si="14">(L12+M12)/AH12</f>
        <v>0</v>
      </c>
      <c r="AL12" s="244"/>
      <c r="AM12" s="141"/>
      <c r="AN12" s="141"/>
      <c r="AO12" s="141"/>
      <c r="AP12" s="141"/>
      <c r="AQ12" s="141"/>
      <c r="AR12" s="141"/>
      <c r="AS12" s="141"/>
      <c r="AT12" s="141"/>
      <c r="AU12" s="141"/>
      <c r="AY12" s="158" t="s">
        <v>830</v>
      </c>
    </row>
    <row r="13" customHeight="1" spans="1:51">
      <c r="A13" s="162" t="str">
        <f t="shared" ref="A12:A75" si="15">IF(N13&lt;&gt;0,1,"")</f>
        <v/>
      </c>
      <c r="B13" s="169"/>
      <c r="C13" s="165" t="str">
        <f>IFERROR(RANK(A13,$A$12:$A$125,0)+COUNTIFS(A$12:A13,A13)-1,"")</f>
        <v/>
      </c>
      <c r="D13" s="166" t="s">
        <v>831</v>
      </c>
      <c r="E13" s="165" t="s">
        <v>820</v>
      </c>
      <c r="F13" s="167" t="s">
        <v>818</v>
      </c>
      <c r="G13" s="167" t="s">
        <v>832</v>
      </c>
      <c r="H13" s="168" t="s">
        <v>833</v>
      </c>
      <c r="I13" s="203" t="s">
        <v>834</v>
      </c>
      <c r="J13" s="203" t="s">
        <v>835</v>
      </c>
      <c r="K13" s="203">
        <v>466600</v>
      </c>
      <c r="L13" s="204"/>
      <c r="M13" s="204"/>
      <c r="N13" s="205">
        <f t="shared" si="0"/>
        <v>0</v>
      </c>
      <c r="O13" s="206" t="e">
        <f t="shared" si="1"/>
        <v>#DIV/0!</v>
      </c>
      <c r="P13" s="207">
        <f t="shared" si="2"/>
        <v>0</v>
      </c>
      <c r="Q13" s="234">
        <f t="shared" si="3"/>
        <v>0</v>
      </c>
      <c r="R13" s="235">
        <f t="shared" si="4"/>
        <v>0</v>
      </c>
      <c r="S13" s="236">
        <v>0.08</v>
      </c>
      <c r="T13" s="235">
        <f t="shared" si="5"/>
        <v>0</v>
      </c>
      <c r="U13" s="235">
        <f t="shared" si="6"/>
        <v>0</v>
      </c>
      <c r="V13" s="235">
        <f t="shared" si="7"/>
        <v>0</v>
      </c>
      <c r="W13" s="237" t="str">
        <f t="shared" si="8"/>
        <v>海天牌招牌味极鲜酿造酱油</v>
      </c>
      <c r="X13" s="238" t="s">
        <v>836</v>
      </c>
      <c r="Y13" s="259" t="s">
        <v>837</v>
      </c>
      <c r="Z13" s="260" t="s">
        <v>838</v>
      </c>
      <c r="AA13" s="261">
        <v>0.351</v>
      </c>
      <c r="AB13" s="261">
        <v>0.238</v>
      </c>
      <c r="AC13" s="261">
        <v>0.303</v>
      </c>
      <c r="AD13" s="262">
        <f t="shared" si="9"/>
        <v>0</v>
      </c>
      <c r="AE13" s="262">
        <f t="shared" si="10"/>
        <v>0</v>
      </c>
      <c r="AF13" s="263">
        <f t="shared" si="11"/>
        <v>0</v>
      </c>
      <c r="AG13" s="278" t="s">
        <v>839</v>
      </c>
      <c r="AH13" s="278" t="s">
        <v>840</v>
      </c>
      <c r="AI13" s="244">
        <f t="shared" si="12"/>
        <v>0</v>
      </c>
      <c r="AJ13" s="244">
        <f t="shared" si="13"/>
        <v>0</v>
      </c>
      <c r="AK13" s="244">
        <f t="shared" si="14"/>
        <v>0</v>
      </c>
      <c r="AL13" s="244"/>
      <c r="AM13" s="141"/>
      <c r="AN13" s="141"/>
      <c r="AO13" s="141"/>
      <c r="AP13" s="141"/>
      <c r="AQ13" s="141"/>
      <c r="AR13" s="141"/>
      <c r="AS13" s="141"/>
      <c r="AT13" s="141"/>
      <c r="AU13" s="141"/>
      <c r="AY13" s="158" t="s">
        <v>841</v>
      </c>
    </row>
    <row r="14" customHeight="1" spans="1:51">
      <c r="A14" s="162" t="str">
        <f t="shared" si="15"/>
        <v/>
      </c>
      <c r="B14" s="170" t="s">
        <v>842</v>
      </c>
      <c r="C14" s="165" t="str">
        <f>IFERROR(RANK(A14,$A$12:$A$125,0)+COUNTIFS(A$12:A14,A14)-1,"")</f>
        <v/>
      </c>
      <c r="D14" s="166" t="s">
        <v>843</v>
      </c>
      <c r="E14" s="165" t="s">
        <v>820</v>
      </c>
      <c r="F14" s="167" t="s">
        <v>842</v>
      </c>
      <c r="G14" s="167" t="s">
        <v>844</v>
      </c>
      <c r="H14" s="168" t="s">
        <v>845</v>
      </c>
      <c r="I14" s="203" t="s">
        <v>846</v>
      </c>
      <c r="J14" s="203" t="s">
        <v>847</v>
      </c>
      <c r="K14" s="203">
        <v>204500</v>
      </c>
      <c r="L14" s="204"/>
      <c r="M14" s="204"/>
      <c r="N14" s="205">
        <f t="shared" si="0"/>
        <v>0</v>
      </c>
      <c r="O14" s="206" t="e">
        <f t="shared" si="1"/>
        <v>#DIV/0!</v>
      </c>
      <c r="P14" s="207">
        <f t="shared" si="2"/>
        <v>0</v>
      </c>
      <c r="Q14" s="234">
        <f t="shared" si="3"/>
        <v>0</v>
      </c>
      <c r="R14" s="235">
        <f t="shared" si="4"/>
        <v>0</v>
      </c>
      <c r="S14" s="236">
        <v>0.08</v>
      </c>
      <c r="T14" s="235">
        <f t="shared" si="5"/>
        <v>0</v>
      </c>
      <c r="U14" s="235">
        <f t="shared" si="6"/>
        <v>0</v>
      </c>
      <c r="V14" s="235">
        <f t="shared" si="7"/>
        <v>0</v>
      </c>
      <c r="W14" s="237" t="str">
        <f t="shared" si="8"/>
        <v>海天牌味极鲜酱油(经典版)</v>
      </c>
      <c r="X14" s="238" t="s">
        <v>825</v>
      </c>
      <c r="Y14" s="259">
        <v>8.3</v>
      </c>
      <c r="Z14" s="260">
        <v>5.6</v>
      </c>
      <c r="AA14" s="261">
        <v>0.273</v>
      </c>
      <c r="AB14" s="261">
        <v>0.181</v>
      </c>
      <c r="AC14" s="261">
        <v>0.277</v>
      </c>
      <c r="AD14" s="262">
        <f t="shared" si="9"/>
        <v>0</v>
      </c>
      <c r="AE14" s="262">
        <f t="shared" si="10"/>
        <v>0</v>
      </c>
      <c r="AF14" s="263">
        <f t="shared" si="11"/>
        <v>0</v>
      </c>
      <c r="AG14" s="278" t="s">
        <v>828</v>
      </c>
      <c r="AH14" s="278" t="s">
        <v>848</v>
      </c>
      <c r="AI14" s="244">
        <f t="shared" si="12"/>
        <v>0</v>
      </c>
      <c r="AJ14" s="244">
        <f t="shared" si="13"/>
        <v>0</v>
      </c>
      <c r="AK14" s="244">
        <f t="shared" si="14"/>
        <v>0</v>
      </c>
      <c r="AL14" s="244"/>
      <c r="AM14" s="141"/>
      <c r="AN14" s="141"/>
      <c r="AO14" s="141"/>
      <c r="AP14" s="141"/>
      <c r="AQ14" s="141"/>
      <c r="AR14" s="141"/>
      <c r="AS14" s="141"/>
      <c r="AT14" s="141"/>
      <c r="AU14" s="141"/>
      <c r="AY14" s="158"/>
    </row>
    <row r="15" customHeight="1" spans="1:51">
      <c r="A15" s="162" t="str">
        <f t="shared" si="15"/>
        <v/>
      </c>
      <c r="B15" s="171"/>
      <c r="C15" s="165" t="str">
        <f>IFERROR(RANK(A15,$A$12:$A$125,0)+COUNTIFS(A$12:A15,A15)-1,"")</f>
        <v/>
      </c>
      <c r="D15" s="166" t="s">
        <v>849</v>
      </c>
      <c r="E15" s="165" t="s">
        <v>820</v>
      </c>
      <c r="F15" s="167" t="s">
        <v>842</v>
      </c>
      <c r="G15" s="167" t="s">
        <v>850</v>
      </c>
      <c r="H15" s="168" t="s">
        <v>851</v>
      </c>
      <c r="I15" s="203" t="s">
        <v>852</v>
      </c>
      <c r="J15" s="203" t="s">
        <v>853</v>
      </c>
      <c r="K15" s="203">
        <v>236000</v>
      </c>
      <c r="L15" s="204"/>
      <c r="M15" s="204"/>
      <c r="N15" s="205">
        <f t="shared" si="0"/>
        <v>0</v>
      </c>
      <c r="O15" s="206" t="e">
        <f t="shared" si="1"/>
        <v>#DIV/0!</v>
      </c>
      <c r="P15" s="207">
        <f t="shared" si="2"/>
        <v>0</v>
      </c>
      <c r="Q15" s="234">
        <f t="shared" si="3"/>
        <v>0</v>
      </c>
      <c r="R15" s="235">
        <f t="shared" si="4"/>
        <v>0</v>
      </c>
      <c r="S15" s="236">
        <v>0.08</v>
      </c>
      <c r="T15" s="235">
        <f t="shared" si="5"/>
        <v>0</v>
      </c>
      <c r="U15" s="235">
        <f t="shared" si="6"/>
        <v>0</v>
      </c>
      <c r="V15" s="235">
        <f t="shared" si="7"/>
        <v>0</v>
      </c>
      <c r="W15" s="237" t="str">
        <f t="shared" si="8"/>
        <v>海天牌味极鲜酱油(经典版)</v>
      </c>
      <c r="X15" s="238" t="s">
        <v>854</v>
      </c>
      <c r="Y15" s="259">
        <v>8.9</v>
      </c>
      <c r="Z15" s="260">
        <v>5.6</v>
      </c>
      <c r="AA15" s="261">
        <v>0.284</v>
      </c>
      <c r="AB15" s="261">
        <v>0.213</v>
      </c>
      <c r="AC15" s="261">
        <v>0.217</v>
      </c>
      <c r="AD15" s="262">
        <f t="shared" si="9"/>
        <v>0</v>
      </c>
      <c r="AE15" s="262">
        <f t="shared" si="10"/>
        <v>0</v>
      </c>
      <c r="AF15" s="263">
        <f t="shared" si="11"/>
        <v>0</v>
      </c>
      <c r="AG15" s="278" t="s">
        <v>855</v>
      </c>
      <c r="AH15" s="278" t="s">
        <v>856</v>
      </c>
      <c r="AI15" s="244">
        <f t="shared" si="12"/>
        <v>0</v>
      </c>
      <c r="AJ15" s="244">
        <f t="shared" si="13"/>
        <v>0</v>
      </c>
      <c r="AK15" s="244">
        <f t="shared" si="14"/>
        <v>0</v>
      </c>
      <c r="AL15" s="244"/>
      <c r="AM15" s="141"/>
      <c r="AN15" s="141"/>
      <c r="AO15" s="141"/>
      <c r="AP15" s="141"/>
      <c r="AQ15" s="141"/>
      <c r="AR15" s="141"/>
      <c r="AS15" s="141"/>
      <c r="AT15" s="141"/>
      <c r="AU15" s="141"/>
      <c r="AY15" s="158"/>
    </row>
    <row r="16" s="133" customFormat="1" customHeight="1" spans="1:51">
      <c r="A16" s="162" t="str">
        <f t="shared" si="15"/>
        <v/>
      </c>
      <c r="B16" s="172"/>
      <c r="C16" s="165" t="str">
        <f>IFERROR(RANK(A16,$A$12:$A$125,0)+COUNTIFS(A$12:A16,A16)-1,"")</f>
        <v/>
      </c>
      <c r="D16" s="173" t="s">
        <v>857</v>
      </c>
      <c r="E16" s="174" t="s">
        <v>820</v>
      </c>
      <c r="F16" s="175" t="s">
        <v>842</v>
      </c>
      <c r="G16" s="175" t="s">
        <v>858</v>
      </c>
      <c r="H16" s="176" t="s">
        <v>859</v>
      </c>
      <c r="I16" s="203" t="s">
        <v>860</v>
      </c>
      <c r="J16" s="208" t="s">
        <v>861</v>
      </c>
      <c r="K16" s="208">
        <v>369600</v>
      </c>
      <c r="L16" s="209"/>
      <c r="M16" s="209"/>
      <c r="N16" s="210">
        <f t="shared" si="0"/>
        <v>0</v>
      </c>
      <c r="O16" s="211" t="e">
        <f t="shared" si="1"/>
        <v>#DIV/0!</v>
      </c>
      <c r="P16" s="212">
        <f t="shared" si="2"/>
        <v>0</v>
      </c>
      <c r="Q16" s="239">
        <f t="shared" si="3"/>
        <v>0</v>
      </c>
      <c r="R16" s="240">
        <f t="shared" si="4"/>
        <v>0</v>
      </c>
      <c r="S16" s="241">
        <v>0.08</v>
      </c>
      <c r="T16" s="240">
        <f t="shared" si="5"/>
        <v>0</v>
      </c>
      <c r="U16" s="240">
        <f t="shared" si="6"/>
        <v>0</v>
      </c>
      <c r="V16" s="240">
        <f t="shared" si="7"/>
        <v>0</v>
      </c>
      <c r="W16" s="242" t="str">
        <f t="shared" si="8"/>
        <v>海天牌味极鲜酱油(经典版)</v>
      </c>
      <c r="X16" s="243" t="s">
        <v>836</v>
      </c>
      <c r="Y16" s="264">
        <v>15</v>
      </c>
      <c r="Z16" s="265">
        <v>14.1</v>
      </c>
      <c r="AA16" s="266">
        <v>0.351</v>
      </c>
      <c r="AB16" s="266">
        <v>0.234</v>
      </c>
      <c r="AC16" s="266">
        <v>0.299</v>
      </c>
      <c r="AD16" s="267">
        <f t="shared" si="9"/>
        <v>0</v>
      </c>
      <c r="AE16" s="267">
        <f t="shared" si="10"/>
        <v>0</v>
      </c>
      <c r="AF16" s="268">
        <f t="shared" si="11"/>
        <v>0</v>
      </c>
      <c r="AG16" s="278" t="s">
        <v>862</v>
      </c>
      <c r="AH16" s="278" t="s">
        <v>863</v>
      </c>
      <c r="AI16" s="244">
        <f t="shared" si="12"/>
        <v>0</v>
      </c>
      <c r="AJ16" s="244">
        <f t="shared" si="13"/>
        <v>0</v>
      </c>
      <c r="AK16" s="244">
        <f t="shared" si="14"/>
        <v>0</v>
      </c>
      <c r="AL16" s="279"/>
      <c r="AM16" s="280"/>
      <c r="AN16" s="280"/>
      <c r="AO16" s="280"/>
      <c r="AP16" s="280"/>
      <c r="AQ16" s="280"/>
      <c r="AR16" s="280"/>
      <c r="AS16" s="280"/>
      <c r="AT16" s="280"/>
      <c r="AU16" s="280"/>
      <c r="AY16" s="304"/>
    </row>
    <row r="17" customHeight="1" spans="1:51">
      <c r="A17" s="162" t="str">
        <f t="shared" si="15"/>
        <v/>
      </c>
      <c r="B17" s="169"/>
      <c r="C17" s="165" t="str">
        <f>IFERROR(RANK(A17,$A$12:$A$125,0)+COUNTIFS(A$12:A17,A17)-1,"")</f>
        <v/>
      </c>
      <c r="D17" s="166" t="s">
        <v>864</v>
      </c>
      <c r="E17" s="165" t="s">
        <v>820</v>
      </c>
      <c r="F17" s="167" t="s">
        <v>842</v>
      </c>
      <c r="G17" s="167" t="s">
        <v>865</v>
      </c>
      <c r="H17" s="168" t="s">
        <v>866</v>
      </c>
      <c r="I17" s="203" t="s">
        <v>867</v>
      </c>
      <c r="J17" s="203" t="s">
        <v>868</v>
      </c>
      <c r="K17" s="203">
        <v>279900</v>
      </c>
      <c r="L17" s="204"/>
      <c r="M17" s="204"/>
      <c r="N17" s="205">
        <f t="shared" si="0"/>
        <v>0</v>
      </c>
      <c r="O17" s="206" t="e">
        <f t="shared" si="1"/>
        <v>#DIV/0!</v>
      </c>
      <c r="P17" s="207">
        <f t="shared" si="2"/>
        <v>0</v>
      </c>
      <c r="Q17" s="234">
        <f t="shared" si="3"/>
        <v>0</v>
      </c>
      <c r="R17" s="235">
        <f t="shared" si="4"/>
        <v>0</v>
      </c>
      <c r="S17" s="236">
        <v>0.08</v>
      </c>
      <c r="T17" s="235">
        <f t="shared" si="5"/>
        <v>0</v>
      </c>
      <c r="U17" s="235">
        <f t="shared" si="6"/>
        <v>0</v>
      </c>
      <c r="V17" s="235">
        <f t="shared" si="7"/>
        <v>0</v>
      </c>
      <c r="W17" s="237" t="str">
        <f t="shared" si="8"/>
        <v>海天牌味极鲜酱油(经典版)</v>
      </c>
      <c r="X17" s="238" t="s">
        <v>869</v>
      </c>
      <c r="Y17" s="259">
        <v>12.7</v>
      </c>
      <c r="Z17" s="260">
        <v>12.1</v>
      </c>
      <c r="AA17" s="261">
        <v>0.31</v>
      </c>
      <c r="AB17" s="261">
        <v>0.155</v>
      </c>
      <c r="AC17" s="261">
        <v>0.347</v>
      </c>
      <c r="AD17" s="262">
        <f t="shared" si="9"/>
        <v>0</v>
      </c>
      <c r="AE17" s="262">
        <f t="shared" si="10"/>
        <v>0</v>
      </c>
      <c r="AF17" s="263">
        <f t="shared" si="11"/>
        <v>0</v>
      </c>
      <c r="AG17" s="278" t="s">
        <v>870</v>
      </c>
      <c r="AH17" s="278" t="s">
        <v>871</v>
      </c>
      <c r="AI17" s="244">
        <f t="shared" si="12"/>
        <v>0</v>
      </c>
      <c r="AJ17" s="244">
        <f t="shared" si="13"/>
        <v>0</v>
      </c>
      <c r="AK17" s="244">
        <f t="shared" si="14"/>
        <v>0</v>
      </c>
      <c r="AL17" s="244"/>
      <c r="AM17" s="141"/>
      <c r="AN17" s="141"/>
      <c r="AO17" s="141"/>
      <c r="AP17" s="141"/>
      <c r="AQ17" s="141"/>
      <c r="AR17" s="141"/>
      <c r="AS17" s="141"/>
      <c r="AT17" s="141"/>
      <c r="AU17" s="141"/>
      <c r="AY17" s="158"/>
    </row>
    <row r="18" customHeight="1" spans="1:47">
      <c r="A18" s="162" t="str">
        <f t="shared" si="15"/>
        <v/>
      </c>
      <c r="B18" s="165" t="s">
        <v>872</v>
      </c>
      <c r="C18" s="165" t="str">
        <f>IFERROR(RANK(A18,$A$12:$A$125,0)+COUNTIFS(A$12:A18,A18)-1,"")</f>
        <v/>
      </c>
      <c r="D18" s="166" t="s">
        <v>873</v>
      </c>
      <c r="E18" s="165" t="s">
        <v>820</v>
      </c>
      <c r="F18" s="167" t="s">
        <v>872</v>
      </c>
      <c r="G18" s="167" t="s">
        <v>874</v>
      </c>
      <c r="H18" s="168" t="s">
        <v>875</v>
      </c>
      <c r="I18" s="203" t="s">
        <v>876</v>
      </c>
      <c r="J18" s="203" t="s">
        <v>877</v>
      </c>
      <c r="K18" s="203">
        <v>282600</v>
      </c>
      <c r="L18" s="204"/>
      <c r="M18" s="204"/>
      <c r="N18" s="205">
        <f t="shared" si="0"/>
        <v>0</v>
      </c>
      <c r="O18" s="206" t="e">
        <f t="shared" si="1"/>
        <v>#DIV/0!</v>
      </c>
      <c r="P18" s="207">
        <f t="shared" si="2"/>
        <v>0</v>
      </c>
      <c r="Q18" s="234">
        <f t="shared" si="3"/>
        <v>0</v>
      </c>
      <c r="R18" s="235">
        <f t="shared" si="4"/>
        <v>0</v>
      </c>
      <c r="S18" s="236">
        <v>0.08</v>
      </c>
      <c r="T18" s="235">
        <f t="shared" si="5"/>
        <v>0</v>
      </c>
      <c r="U18" s="235">
        <f t="shared" si="6"/>
        <v>0</v>
      </c>
      <c r="V18" s="235">
        <f t="shared" si="7"/>
        <v>0</v>
      </c>
      <c r="W18" s="237" t="str">
        <f t="shared" si="8"/>
        <v>海天牌0味极鲜酱油</v>
      </c>
      <c r="X18" s="238" t="s">
        <v>854</v>
      </c>
      <c r="Y18" s="259" t="s">
        <v>878</v>
      </c>
      <c r="Z18" s="260" t="s">
        <v>879</v>
      </c>
      <c r="AA18" s="261">
        <v>0.284</v>
      </c>
      <c r="AB18" s="261">
        <v>0.213</v>
      </c>
      <c r="AC18" s="261">
        <v>0.217</v>
      </c>
      <c r="AD18" s="262">
        <f t="shared" si="9"/>
        <v>0</v>
      </c>
      <c r="AE18" s="262">
        <f t="shared" si="10"/>
        <v>0</v>
      </c>
      <c r="AF18" s="263">
        <f t="shared" si="11"/>
        <v>0</v>
      </c>
      <c r="AG18" s="278" t="s">
        <v>855</v>
      </c>
      <c r="AH18" s="278" t="s">
        <v>880</v>
      </c>
      <c r="AI18" s="244">
        <f t="shared" si="12"/>
        <v>0</v>
      </c>
      <c r="AJ18" s="244">
        <f t="shared" si="13"/>
        <v>0</v>
      </c>
      <c r="AK18" s="244">
        <f t="shared" si="14"/>
        <v>0</v>
      </c>
      <c r="AL18" s="281"/>
      <c r="AM18" s="141"/>
      <c r="AN18" s="141"/>
      <c r="AO18" s="141"/>
      <c r="AP18" s="141"/>
      <c r="AQ18" s="141"/>
      <c r="AR18" s="141"/>
      <c r="AS18" s="141"/>
      <c r="AT18" s="141"/>
      <c r="AU18" s="141"/>
    </row>
    <row r="19" customHeight="1" spans="1:47">
      <c r="A19" s="162" t="str">
        <f t="shared" si="15"/>
        <v/>
      </c>
      <c r="B19" s="165"/>
      <c r="C19" s="165" t="str">
        <f>IFERROR(RANK(A19,$A$12:$A$125,0)+COUNTIFS(A$12:A19,A19)-1,"")</f>
        <v/>
      </c>
      <c r="D19" s="166" t="s">
        <v>881</v>
      </c>
      <c r="E19" s="165" t="s">
        <v>820</v>
      </c>
      <c r="F19" s="167" t="str">
        <f>F18</f>
        <v>0味极鲜酱油</v>
      </c>
      <c r="G19" s="167" t="s">
        <v>882</v>
      </c>
      <c r="H19" s="168" t="s">
        <v>883</v>
      </c>
      <c r="I19" s="203" t="s">
        <v>884</v>
      </c>
      <c r="J19" s="203" t="s">
        <v>885</v>
      </c>
      <c r="K19" s="203">
        <v>242600</v>
      </c>
      <c r="L19" s="204"/>
      <c r="M19" s="204"/>
      <c r="N19" s="205">
        <f t="shared" si="0"/>
        <v>0</v>
      </c>
      <c r="O19" s="206" t="e">
        <f t="shared" si="1"/>
        <v>#DIV/0!</v>
      </c>
      <c r="P19" s="207">
        <f t="shared" si="2"/>
        <v>0</v>
      </c>
      <c r="Q19" s="234">
        <f t="shared" si="3"/>
        <v>0</v>
      </c>
      <c r="R19" s="235">
        <f t="shared" si="4"/>
        <v>0</v>
      </c>
      <c r="S19" s="236">
        <v>0.08</v>
      </c>
      <c r="T19" s="235">
        <f t="shared" si="5"/>
        <v>0</v>
      </c>
      <c r="U19" s="235">
        <f t="shared" si="6"/>
        <v>0</v>
      </c>
      <c r="V19" s="235">
        <f t="shared" si="7"/>
        <v>0</v>
      </c>
      <c r="W19" s="237" t="str">
        <f t="shared" si="8"/>
        <v>海天牌0味极鲜酱油</v>
      </c>
      <c r="X19" s="238" t="s">
        <v>825</v>
      </c>
      <c r="Y19" s="259" t="s">
        <v>826</v>
      </c>
      <c r="Z19" s="260" t="s">
        <v>879</v>
      </c>
      <c r="AA19" s="261">
        <v>0.273</v>
      </c>
      <c r="AB19" s="261">
        <v>0.181</v>
      </c>
      <c r="AC19" s="261">
        <v>0.277</v>
      </c>
      <c r="AD19" s="262">
        <f t="shared" si="9"/>
        <v>0</v>
      </c>
      <c r="AE19" s="262">
        <f t="shared" si="10"/>
        <v>0</v>
      </c>
      <c r="AF19" s="263">
        <f t="shared" si="11"/>
        <v>0</v>
      </c>
      <c r="AG19" s="278" t="s">
        <v>828</v>
      </c>
      <c r="AH19" s="278" t="s">
        <v>829</v>
      </c>
      <c r="AI19" s="244">
        <f t="shared" si="12"/>
        <v>0</v>
      </c>
      <c r="AJ19" s="244">
        <f t="shared" si="13"/>
        <v>0</v>
      </c>
      <c r="AK19" s="244">
        <f t="shared" si="14"/>
        <v>0</v>
      </c>
      <c r="AL19" s="281"/>
      <c r="AM19" s="141"/>
      <c r="AN19" s="141"/>
      <c r="AO19" s="141"/>
      <c r="AP19" s="141"/>
      <c r="AQ19" s="141"/>
      <c r="AR19" s="141"/>
      <c r="AS19" s="141"/>
      <c r="AT19" s="141"/>
      <c r="AU19" s="141"/>
    </row>
    <row r="20" customHeight="1" spans="1:47">
      <c r="A20" s="162" t="str">
        <f t="shared" si="15"/>
        <v/>
      </c>
      <c r="B20" s="165"/>
      <c r="C20" s="165" t="str">
        <f>IFERROR(RANK(A20,$A$12:$A$125,0)+COUNTIFS(A$12:A20,A20)-1,"")</f>
        <v/>
      </c>
      <c r="D20" s="166" t="s">
        <v>886</v>
      </c>
      <c r="E20" s="165" t="s">
        <v>820</v>
      </c>
      <c r="F20" s="167" t="str">
        <f>F19</f>
        <v>0味极鲜酱油</v>
      </c>
      <c r="G20" s="167" t="s">
        <v>887</v>
      </c>
      <c r="H20" s="168" t="s">
        <v>888</v>
      </c>
      <c r="I20" s="203" t="s">
        <v>889</v>
      </c>
      <c r="J20" s="203" t="s">
        <v>890</v>
      </c>
      <c r="K20" s="203">
        <v>455900</v>
      </c>
      <c r="L20" s="204"/>
      <c r="M20" s="204"/>
      <c r="N20" s="205">
        <f t="shared" si="0"/>
        <v>0</v>
      </c>
      <c r="O20" s="206" t="e">
        <f t="shared" si="1"/>
        <v>#DIV/0!</v>
      </c>
      <c r="P20" s="207">
        <f t="shared" si="2"/>
        <v>0</v>
      </c>
      <c r="Q20" s="234">
        <f t="shared" si="3"/>
        <v>0</v>
      </c>
      <c r="R20" s="235">
        <f t="shared" si="4"/>
        <v>0</v>
      </c>
      <c r="S20" s="236">
        <v>0.08</v>
      </c>
      <c r="T20" s="235">
        <f t="shared" si="5"/>
        <v>0</v>
      </c>
      <c r="U20" s="235">
        <f t="shared" si="6"/>
        <v>0</v>
      </c>
      <c r="V20" s="235">
        <f t="shared" si="7"/>
        <v>0</v>
      </c>
      <c r="W20" s="237" t="str">
        <f t="shared" si="8"/>
        <v>海天牌0味极鲜酱油</v>
      </c>
      <c r="X20" s="238" t="s">
        <v>891</v>
      </c>
      <c r="Y20" s="259" t="s">
        <v>892</v>
      </c>
      <c r="Z20" s="260" t="s">
        <v>893</v>
      </c>
      <c r="AA20" s="261">
        <v>0.34</v>
      </c>
      <c r="AB20" s="261">
        <v>0.224</v>
      </c>
      <c r="AC20" s="261">
        <v>0.294</v>
      </c>
      <c r="AD20" s="262">
        <f t="shared" si="9"/>
        <v>0</v>
      </c>
      <c r="AE20" s="262">
        <f t="shared" si="10"/>
        <v>0</v>
      </c>
      <c r="AF20" s="263">
        <f t="shared" si="11"/>
        <v>0</v>
      </c>
      <c r="AG20" s="278" t="s">
        <v>894</v>
      </c>
      <c r="AH20" s="278" t="s">
        <v>895</v>
      </c>
      <c r="AI20" s="244">
        <f t="shared" si="12"/>
        <v>0</v>
      </c>
      <c r="AJ20" s="244">
        <f t="shared" si="13"/>
        <v>0</v>
      </c>
      <c r="AK20" s="244">
        <f t="shared" si="14"/>
        <v>0</v>
      </c>
      <c r="AL20" s="281"/>
      <c r="AM20" s="141"/>
      <c r="AN20" s="141"/>
      <c r="AO20" s="141"/>
      <c r="AP20" s="141"/>
      <c r="AQ20" s="141"/>
      <c r="AR20" s="141"/>
      <c r="AS20" s="141"/>
      <c r="AT20" s="141"/>
      <c r="AU20" s="141"/>
    </row>
    <row r="21" customHeight="1" spans="1:47">
      <c r="A21" s="162" t="str">
        <f t="shared" si="15"/>
        <v/>
      </c>
      <c r="B21" s="177" t="s">
        <v>896</v>
      </c>
      <c r="C21" s="165" t="str">
        <f>IFERROR(RANK(A21,$A$12:$A$125,0)+COUNTIFS(A$12:A21,A21)-1,"")</f>
        <v/>
      </c>
      <c r="D21" s="166" t="s">
        <v>897</v>
      </c>
      <c r="E21" s="165" t="s">
        <v>820</v>
      </c>
      <c r="F21" s="167" t="s">
        <v>896</v>
      </c>
      <c r="G21" s="167" t="s">
        <v>898</v>
      </c>
      <c r="H21" s="168" t="s">
        <v>899</v>
      </c>
      <c r="I21" s="203" t="s">
        <v>900</v>
      </c>
      <c r="J21" s="203" t="s">
        <v>901</v>
      </c>
      <c r="K21" s="203">
        <v>277800</v>
      </c>
      <c r="L21" s="204"/>
      <c r="M21" s="204"/>
      <c r="N21" s="205">
        <f t="shared" si="0"/>
        <v>0</v>
      </c>
      <c r="O21" s="206" t="e">
        <f t="shared" si="1"/>
        <v>#DIV/0!</v>
      </c>
      <c r="P21" s="207">
        <f t="shared" si="2"/>
        <v>0</v>
      </c>
      <c r="Q21" s="234">
        <f t="shared" si="3"/>
        <v>0</v>
      </c>
      <c r="R21" s="235">
        <f t="shared" si="4"/>
        <v>0</v>
      </c>
      <c r="S21" s="236">
        <v>0.08</v>
      </c>
      <c r="T21" s="235">
        <f t="shared" si="5"/>
        <v>0</v>
      </c>
      <c r="U21" s="235">
        <f t="shared" si="6"/>
        <v>0</v>
      </c>
      <c r="V21" s="235">
        <f t="shared" si="7"/>
        <v>0</v>
      </c>
      <c r="W21" s="237" t="str">
        <f t="shared" si="8"/>
        <v>海天牌海鲜酱油（经典版）</v>
      </c>
      <c r="X21" s="238" t="s">
        <v>902</v>
      </c>
      <c r="Y21" s="259" t="s">
        <v>903</v>
      </c>
      <c r="Z21" s="260" t="s">
        <v>904</v>
      </c>
      <c r="AA21" s="261">
        <v>0.272</v>
      </c>
      <c r="AB21" s="261">
        <v>0.206</v>
      </c>
      <c r="AC21" s="261">
        <v>0.258</v>
      </c>
      <c r="AD21" s="262">
        <f t="shared" si="9"/>
        <v>0</v>
      </c>
      <c r="AE21" s="262">
        <f t="shared" si="10"/>
        <v>0</v>
      </c>
      <c r="AF21" s="263">
        <f t="shared" si="11"/>
        <v>0</v>
      </c>
      <c r="AG21" s="278" t="s">
        <v>905</v>
      </c>
      <c r="AH21" s="278" t="s">
        <v>906</v>
      </c>
      <c r="AI21" s="244">
        <f t="shared" si="12"/>
        <v>0</v>
      </c>
      <c r="AJ21" s="244">
        <f t="shared" si="13"/>
        <v>0</v>
      </c>
      <c r="AK21" s="244">
        <f t="shared" si="14"/>
        <v>0</v>
      </c>
      <c r="AL21" s="244"/>
      <c r="AM21" s="141"/>
      <c r="AN21" s="141"/>
      <c r="AO21" s="141"/>
      <c r="AP21" s="141"/>
      <c r="AQ21" s="141"/>
      <c r="AR21" s="141"/>
      <c r="AS21" s="141"/>
      <c r="AT21" s="141"/>
      <c r="AU21" s="141"/>
    </row>
    <row r="22" customHeight="1" spans="1:47">
      <c r="A22" s="162" t="str">
        <f t="shared" si="15"/>
        <v/>
      </c>
      <c r="B22" s="165"/>
      <c r="C22" s="165" t="str">
        <f>IFERROR(RANK(A22,$A$12:$A$125,0)+COUNTIFS(A$12:A22,A22)-1,"")</f>
        <v/>
      </c>
      <c r="D22" s="166" t="s">
        <v>907</v>
      </c>
      <c r="E22" s="165" t="s">
        <v>820</v>
      </c>
      <c r="F22" s="167" t="str">
        <f>F21</f>
        <v>海鲜酱油（经典版）</v>
      </c>
      <c r="G22" s="167" t="s">
        <v>908</v>
      </c>
      <c r="H22" s="168" t="s">
        <v>909</v>
      </c>
      <c r="I22" s="203" t="s">
        <v>910</v>
      </c>
      <c r="J22" s="203" t="s">
        <v>911</v>
      </c>
      <c r="K22" s="203">
        <v>388900</v>
      </c>
      <c r="L22" s="204"/>
      <c r="M22" s="204"/>
      <c r="N22" s="205">
        <f t="shared" si="0"/>
        <v>0</v>
      </c>
      <c r="O22" s="206" t="e">
        <f t="shared" si="1"/>
        <v>#DIV/0!</v>
      </c>
      <c r="P22" s="207">
        <f t="shared" si="2"/>
        <v>0</v>
      </c>
      <c r="Q22" s="234">
        <f t="shared" si="3"/>
        <v>0</v>
      </c>
      <c r="R22" s="235">
        <f t="shared" si="4"/>
        <v>0</v>
      </c>
      <c r="S22" s="236">
        <v>0.08</v>
      </c>
      <c r="T22" s="235">
        <f t="shared" si="5"/>
        <v>0</v>
      </c>
      <c r="U22" s="235">
        <f t="shared" si="6"/>
        <v>0</v>
      </c>
      <c r="V22" s="235">
        <f t="shared" si="7"/>
        <v>0</v>
      </c>
      <c r="W22" s="237" t="str">
        <f t="shared" si="8"/>
        <v>海天牌海鲜酱油（经典版）</v>
      </c>
      <c r="X22" s="238" t="s">
        <v>891</v>
      </c>
      <c r="Y22" s="259" t="s">
        <v>912</v>
      </c>
      <c r="Z22" s="260" t="s">
        <v>913</v>
      </c>
      <c r="AA22" s="261">
        <v>0.338</v>
      </c>
      <c r="AB22" s="261">
        <v>0.226</v>
      </c>
      <c r="AC22" s="261">
        <v>0.3</v>
      </c>
      <c r="AD22" s="262">
        <f t="shared" si="9"/>
        <v>0</v>
      </c>
      <c r="AE22" s="262">
        <f t="shared" si="10"/>
        <v>0</v>
      </c>
      <c r="AF22" s="263">
        <f t="shared" si="11"/>
        <v>0</v>
      </c>
      <c r="AG22" s="278" t="s">
        <v>914</v>
      </c>
      <c r="AH22" s="278" t="s">
        <v>915</v>
      </c>
      <c r="AI22" s="244">
        <f t="shared" si="12"/>
        <v>0</v>
      </c>
      <c r="AJ22" s="244">
        <f t="shared" si="13"/>
        <v>0</v>
      </c>
      <c r="AK22" s="244">
        <f t="shared" si="14"/>
        <v>0</v>
      </c>
      <c r="AL22" s="244"/>
      <c r="AM22" s="141"/>
      <c r="AN22" s="141"/>
      <c r="AO22" s="141"/>
      <c r="AP22" s="141"/>
      <c r="AQ22" s="141"/>
      <c r="AR22" s="141"/>
      <c r="AS22" s="141"/>
      <c r="AT22" s="141"/>
      <c r="AU22" s="141"/>
    </row>
    <row r="23" customHeight="1" spans="1:47">
      <c r="A23" s="162" t="str">
        <f t="shared" si="15"/>
        <v/>
      </c>
      <c r="B23" s="177" t="s">
        <v>896</v>
      </c>
      <c r="C23" s="165" t="str">
        <f>IFERROR(RANK(A23,$A$12:$A$125,0)+COUNTIFS(A$12:A23,A23)-1,"")</f>
        <v/>
      </c>
      <c r="D23" s="166" t="s">
        <v>916</v>
      </c>
      <c r="E23" s="165" t="s">
        <v>917</v>
      </c>
      <c r="F23" s="167" t="s">
        <v>896</v>
      </c>
      <c r="G23" s="167" t="s">
        <v>898</v>
      </c>
      <c r="H23" s="168" t="s">
        <v>899</v>
      </c>
      <c r="I23" s="203" t="s">
        <v>918</v>
      </c>
      <c r="J23" s="203" t="s">
        <v>901</v>
      </c>
      <c r="K23" s="203">
        <v>277800</v>
      </c>
      <c r="L23" s="204"/>
      <c r="M23" s="204"/>
      <c r="N23" s="205">
        <f t="shared" si="0"/>
        <v>0</v>
      </c>
      <c r="O23" s="206" t="e">
        <f t="shared" si="1"/>
        <v>#DIV/0!</v>
      </c>
      <c r="P23" s="207">
        <f t="shared" si="2"/>
        <v>0</v>
      </c>
      <c r="Q23" s="234">
        <f t="shared" si="3"/>
        <v>0</v>
      </c>
      <c r="R23" s="235">
        <f t="shared" si="4"/>
        <v>0</v>
      </c>
      <c r="S23" s="236">
        <v>0.08</v>
      </c>
      <c r="T23" s="235">
        <f t="shared" si="5"/>
        <v>0</v>
      </c>
      <c r="U23" s="235">
        <f t="shared" si="6"/>
        <v>0</v>
      </c>
      <c r="V23" s="235">
        <f t="shared" si="7"/>
        <v>0</v>
      </c>
      <c r="W23" s="237" t="str">
        <f t="shared" si="8"/>
        <v>海天牌海鲜酱油（经典版）</v>
      </c>
      <c r="X23" s="238" t="s">
        <v>902</v>
      </c>
      <c r="Y23" s="259" t="s">
        <v>903</v>
      </c>
      <c r="Z23" s="260" t="s">
        <v>904</v>
      </c>
      <c r="AA23" s="261">
        <v>0.272</v>
      </c>
      <c r="AB23" s="261">
        <v>0.206</v>
      </c>
      <c r="AC23" s="261">
        <v>0.258</v>
      </c>
      <c r="AD23" s="262">
        <f t="shared" si="9"/>
        <v>0</v>
      </c>
      <c r="AE23" s="262">
        <f t="shared" si="10"/>
        <v>0</v>
      </c>
      <c r="AF23" s="263">
        <f t="shared" si="11"/>
        <v>0</v>
      </c>
      <c r="AG23" s="278" t="s">
        <v>905</v>
      </c>
      <c r="AH23" s="278" t="s">
        <v>906</v>
      </c>
      <c r="AI23" s="244">
        <f t="shared" si="12"/>
        <v>0</v>
      </c>
      <c r="AJ23" s="244">
        <f t="shared" si="13"/>
        <v>0</v>
      </c>
      <c r="AK23" s="244">
        <f t="shared" si="14"/>
        <v>0</v>
      </c>
      <c r="AL23" s="244"/>
      <c r="AM23" s="141"/>
      <c r="AN23" s="141"/>
      <c r="AO23" s="141"/>
      <c r="AP23" s="141"/>
      <c r="AQ23" s="141"/>
      <c r="AR23" s="141"/>
      <c r="AS23" s="141"/>
      <c r="AT23" s="141"/>
      <c r="AU23" s="141"/>
    </row>
    <row r="24" customHeight="1" spans="1:47">
      <c r="A24" s="162" t="str">
        <f t="shared" si="15"/>
        <v/>
      </c>
      <c r="B24" s="165"/>
      <c r="C24" s="165" t="str">
        <f>IFERROR(RANK(A24,$A$12:$A$125,0)+COUNTIFS(A$12:A24,A24)-1,"")</f>
        <v/>
      </c>
      <c r="D24" s="166" t="s">
        <v>919</v>
      </c>
      <c r="E24" s="165" t="s">
        <v>917</v>
      </c>
      <c r="F24" s="167" t="str">
        <f>F23</f>
        <v>海鲜酱油（经典版）</v>
      </c>
      <c r="G24" s="167" t="s">
        <v>908</v>
      </c>
      <c r="H24" s="168" t="s">
        <v>909</v>
      </c>
      <c r="I24" s="203" t="s">
        <v>920</v>
      </c>
      <c r="J24" s="203" t="s">
        <v>911</v>
      </c>
      <c r="K24" s="203">
        <v>388900</v>
      </c>
      <c r="L24" s="204"/>
      <c r="M24" s="204"/>
      <c r="N24" s="205">
        <f t="shared" si="0"/>
        <v>0</v>
      </c>
      <c r="O24" s="206" t="e">
        <f t="shared" si="1"/>
        <v>#DIV/0!</v>
      </c>
      <c r="P24" s="207">
        <f t="shared" si="2"/>
        <v>0</v>
      </c>
      <c r="Q24" s="234">
        <f t="shared" si="3"/>
        <v>0</v>
      </c>
      <c r="R24" s="235">
        <f t="shared" si="4"/>
        <v>0</v>
      </c>
      <c r="S24" s="236">
        <v>0.08</v>
      </c>
      <c r="T24" s="235">
        <f t="shared" si="5"/>
        <v>0</v>
      </c>
      <c r="U24" s="235">
        <f t="shared" si="6"/>
        <v>0</v>
      </c>
      <c r="V24" s="235">
        <f t="shared" si="7"/>
        <v>0</v>
      </c>
      <c r="W24" s="237" t="str">
        <f t="shared" si="8"/>
        <v>海天牌海鲜酱油（经典版）</v>
      </c>
      <c r="X24" s="238" t="s">
        <v>891</v>
      </c>
      <c r="Y24" s="259" t="s">
        <v>912</v>
      </c>
      <c r="Z24" s="260" t="s">
        <v>913</v>
      </c>
      <c r="AA24" s="261">
        <v>0.338</v>
      </c>
      <c r="AB24" s="261">
        <v>0.226</v>
      </c>
      <c r="AC24" s="261">
        <v>0.3</v>
      </c>
      <c r="AD24" s="262">
        <f t="shared" si="9"/>
        <v>0</v>
      </c>
      <c r="AE24" s="262">
        <f t="shared" si="10"/>
        <v>0</v>
      </c>
      <c r="AF24" s="263">
        <f t="shared" si="11"/>
        <v>0</v>
      </c>
      <c r="AG24" s="278" t="s">
        <v>914</v>
      </c>
      <c r="AH24" s="278" t="s">
        <v>915</v>
      </c>
      <c r="AI24" s="244">
        <f t="shared" si="12"/>
        <v>0</v>
      </c>
      <c r="AJ24" s="244">
        <f t="shared" si="13"/>
        <v>0</v>
      </c>
      <c r="AK24" s="244">
        <f t="shared" si="14"/>
        <v>0</v>
      </c>
      <c r="AL24" s="244"/>
      <c r="AM24" s="141"/>
      <c r="AN24" s="141"/>
      <c r="AO24" s="141"/>
      <c r="AP24" s="141"/>
      <c r="AQ24" s="141"/>
      <c r="AR24" s="141"/>
      <c r="AS24" s="141"/>
      <c r="AT24" s="141"/>
      <c r="AU24" s="141"/>
    </row>
    <row r="25" customHeight="1" spans="1:47">
      <c r="A25" s="162" t="str">
        <f t="shared" si="15"/>
        <v/>
      </c>
      <c r="B25" s="170" t="s">
        <v>921</v>
      </c>
      <c r="C25" s="165" t="str">
        <f>IFERROR(RANK(A25,$A$12:$A$125,0)+COUNTIFS(A$12:A25,A25)-1,"")</f>
        <v/>
      </c>
      <c r="D25" s="166" t="s">
        <v>922</v>
      </c>
      <c r="E25" s="165" t="s">
        <v>917</v>
      </c>
      <c r="F25" s="167" t="s">
        <v>921</v>
      </c>
      <c r="G25" s="167" t="s">
        <v>923</v>
      </c>
      <c r="H25" s="167" t="s">
        <v>924</v>
      </c>
      <c r="I25" s="203" t="s">
        <v>925</v>
      </c>
      <c r="J25" s="203" t="s">
        <v>926</v>
      </c>
      <c r="K25" s="213">
        <v>356000</v>
      </c>
      <c r="L25" s="204"/>
      <c r="M25" s="204"/>
      <c r="N25" s="205">
        <f t="shared" si="0"/>
        <v>0</v>
      </c>
      <c r="O25" s="206" t="e">
        <f t="shared" si="1"/>
        <v>#DIV/0!</v>
      </c>
      <c r="P25" s="207">
        <f t="shared" si="2"/>
        <v>0</v>
      </c>
      <c r="Q25" s="234">
        <f t="shared" si="3"/>
        <v>0</v>
      </c>
      <c r="R25" s="235">
        <f t="shared" si="4"/>
        <v>0</v>
      </c>
      <c r="S25" s="236">
        <v>0.08</v>
      </c>
      <c r="T25" s="235">
        <f t="shared" si="5"/>
        <v>0</v>
      </c>
      <c r="U25" s="235">
        <f t="shared" si="6"/>
        <v>0</v>
      </c>
      <c r="V25" s="235">
        <f t="shared" si="7"/>
        <v>0</v>
      </c>
      <c r="W25" s="237" t="str">
        <f t="shared" si="8"/>
        <v>海天牌海天金标生抽（经典版）</v>
      </c>
      <c r="X25" s="238" t="s">
        <v>927</v>
      </c>
      <c r="Y25" s="259" t="s">
        <v>928</v>
      </c>
      <c r="Z25" s="260" t="s">
        <v>929</v>
      </c>
      <c r="AA25" s="261">
        <v>0.3</v>
      </c>
      <c r="AB25" s="261">
        <v>0.22</v>
      </c>
      <c r="AC25" s="261">
        <v>0.175</v>
      </c>
      <c r="AD25" s="262">
        <f t="shared" si="9"/>
        <v>0</v>
      </c>
      <c r="AE25" s="262">
        <f t="shared" si="10"/>
        <v>0</v>
      </c>
      <c r="AF25" s="263">
        <f t="shared" si="11"/>
        <v>0</v>
      </c>
      <c r="AG25" s="278" t="s">
        <v>930</v>
      </c>
      <c r="AH25" s="278" t="s">
        <v>931</v>
      </c>
      <c r="AI25" s="244">
        <f t="shared" si="12"/>
        <v>0</v>
      </c>
      <c r="AJ25" s="244">
        <f t="shared" si="13"/>
        <v>0</v>
      </c>
      <c r="AK25" s="244">
        <f t="shared" si="14"/>
        <v>0</v>
      </c>
      <c r="AL25" s="244"/>
      <c r="AM25" s="141"/>
      <c r="AN25" s="282" t="s">
        <v>932</v>
      </c>
      <c r="AO25" s="282"/>
      <c r="AP25" s="282"/>
      <c r="AQ25" s="282"/>
      <c r="AR25" s="282"/>
      <c r="AS25" s="282"/>
      <c r="AT25" s="141"/>
      <c r="AU25" s="141"/>
    </row>
    <row r="26" customHeight="1" spans="1:47">
      <c r="A26" s="162" t="str">
        <f t="shared" si="15"/>
        <v/>
      </c>
      <c r="B26" s="171"/>
      <c r="C26" s="165" t="str">
        <f>IFERROR(RANK(A26,$A$12:$A$125,0)+COUNTIFS(A$12:A26,A26)-1,"")</f>
        <v/>
      </c>
      <c r="D26" s="166" t="s">
        <v>933</v>
      </c>
      <c r="E26" s="165" t="s">
        <v>917</v>
      </c>
      <c r="F26" s="167" t="s">
        <v>921</v>
      </c>
      <c r="G26" s="167" t="s">
        <v>934</v>
      </c>
      <c r="H26" s="168" t="s">
        <v>935</v>
      </c>
      <c r="I26" s="203" t="s">
        <v>936</v>
      </c>
      <c r="J26" s="203" t="s">
        <v>937</v>
      </c>
      <c r="K26" s="203">
        <v>197000</v>
      </c>
      <c r="L26" s="204"/>
      <c r="M26" s="204"/>
      <c r="N26" s="205">
        <f t="shared" si="0"/>
        <v>0</v>
      </c>
      <c r="O26" s="206" t="e">
        <f t="shared" si="1"/>
        <v>#DIV/0!</v>
      </c>
      <c r="P26" s="207">
        <f t="shared" si="2"/>
        <v>0</v>
      </c>
      <c r="Q26" s="234">
        <f t="shared" si="3"/>
        <v>0</v>
      </c>
      <c r="R26" s="235">
        <f t="shared" si="4"/>
        <v>0</v>
      </c>
      <c r="S26" s="236">
        <v>0.08</v>
      </c>
      <c r="T26" s="235">
        <f t="shared" si="5"/>
        <v>0</v>
      </c>
      <c r="U26" s="235">
        <f t="shared" si="6"/>
        <v>0</v>
      </c>
      <c r="V26" s="235">
        <f t="shared" si="7"/>
        <v>0</v>
      </c>
      <c r="W26" s="237" t="str">
        <f t="shared" si="8"/>
        <v>海天牌海天金标生抽（经典版）</v>
      </c>
      <c r="X26" s="238" t="s">
        <v>938</v>
      </c>
      <c r="Y26" s="259" t="s">
        <v>939</v>
      </c>
      <c r="Z26" s="260" t="s">
        <v>940</v>
      </c>
      <c r="AA26" s="261">
        <v>0.307</v>
      </c>
      <c r="AB26" s="261">
        <v>0.206</v>
      </c>
      <c r="AC26" s="261">
        <v>0.189</v>
      </c>
      <c r="AD26" s="262">
        <f t="shared" si="9"/>
        <v>0</v>
      </c>
      <c r="AE26" s="262">
        <f t="shared" si="10"/>
        <v>0</v>
      </c>
      <c r="AF26" s="263">
        <f t="shared" si="11"/>
        <v>0</v>
      </c>
      <c r="AG26" s="278" t="s">
        <v>941</v>
      </c>
      <c r="AH26" s="278" t="s">
        <v>942</v>
      </c>
      <c r="AI26" s="244">
        <f t="shared" si="12"/>
        <v>0</v>
      </c>
      <c r="AJ26" s="244">
        <f t="shared" si="13"/>
        <v>0</v>
      </c>
      <c r="AK26" s="244">
        <f t="shared" si="14"/>
        <v>0</v>
      </c>
      <c r="AL26" s="244"/>
      <c r="AM26" s="141"/>
      <c r="AN26" s="283" t="s">
        <v>943</v>
      </c>
      <c r="AO26" s="290" t="s">
        <v>944</v>
      </c>
      <c r="AP26" s="290"/>
      <c r="AQ26" s="290"/>
      <c r="AR26" s="290"/>
      <c r="AS26" s="290"/>
      <c r="AT26" s="141"/>
      <c r="AU26" s="141"/>
    </row>
    <row r="27" customHeight="1" spans="1:47">
      <c r="A27" s="162" t="str">
        <f t="shared" si="15"/>
        <v/>
      </c>
      <c r="B27" s="171"/>
      <c r="C27" s="165" t="str">
        <f>IFERROR(RANK(A27,$A$12:$A$125,0)+COUNTIFS(A$12:A27,A27)-1,"")</f>
        <v/>
      </c>
      <c r="D27" s="166" t="s">
        <v>945</v>
      </c>
      <c r="E27" s="165" t="s">
        <v>917</v>
      </c>
      <c r="F27" s="167" t="s">
        <v>921</v>
      </c>
      <c r="G27" s="167" t="s">
        <v>946</v>
      </c>
      <c r="H27" s="168" t="s">
        <v>935</v>
      </c>
      <c r="I27" s="203" t="s">
        <v>947</v>
      </c>
      <c r="J27" s="214" t="s">
        <v>948</v>
      </c>
      <c r="K27" s="203">
        <v>197000</v>
      </c>
      <c r="L27" s="204"/>
      <c r="M27" s="204"/>
      <c r="N27" s="205">
        <f t="shared" si="0"/>
        <v>0</v>
      </c>
      <c r="O27" s="206" t="e">
        <f t="shared" si="1"/>
        <v>#DIV/0!</v>
      </c>
      <c r="P27" s="207">
        <f t="shared" si="2"/>
        <v>0</v>
      </c>
      <c r="Q27" s="234">
        <f t="shared" si="3"/>
        <v>0</v>
      </c>
      <c r="R27" s="235">
        <f t="shared" si="4"/>
        <v>0</v>
      </c>
      <c r="S27" s="236">
        <v>0.08</v>
      </c>
      <c r="T27" s="235">
        <f t="shared" si="5"/>
        <v>0</v>
      </c>
      <c r="U27" s="235">
        <f t="shared" si="6"/>
        <v>0</v>
      </c>
      <c r="V27" s="235">
        <f t="shared" si="7"/>
        <v>0</v>
      </c>
      <c r="W27" s="237" t="str">
        <f t="shared" si="8"/>
        <v>海天牌海天金标生抽（经典版）</v>
      </c>
      <c r="X27" s="238" t="s">
        <v>938</v>
      </c>
      <c r="Y27" s="259" t="s">
        <v>939</v>
      </c>
      <c r="Z27" s="260" t="s">
        <v>940</v>
      </c>
      <c r="AA27" s="261">
        <v>0.307</v>
      </c>
      <c r="AB27" s="261">
        <v>0.206</v>
      </c>
      <c r="AC27" s="261">
        <v>0.189</v>
      </c>
      <c r="AD27" s="262">
        <f t="shared" si="9"/>
        <v>0</v>
      </c>
      <c r="AE27" s="262">
        <f t="shared" si="10"/>
        <v>0</v>
      </c>
      <c r="AF27" s="263">
        <f t="shared" si="11"/>
        <v>0</v>
      </c>
      <c r="AG27" s="278" t="s">
        <v>941</v>
      </c>
      <c r="AH27" s="278" t="s">
        <v>942</v>
      </c>
      <c r="AI27" s="244">
        <f t="shared" si="12"/>
        <v>0</v>
      </c>
      <c r="AJ27" s="244">
        <f t="shared" si="13"/>
        <v>0</v>
      </c>
      <c r="AK27" s="244">
        <f t="shared" si="14"/>
        <v>0</v>
      </c>
      <c r="AL27" s="244"/>
      <c r="AM27" s="141"/>
      <c r="AN27" s="283"/>
      <c r="AO27" s="290"/>
      <c r="AP27" s="290"/>
      <c r="AQ27" s="290"/>
      <c r="AR27" s="290"/>
      <c r="AS27" s="290"/>
      <c r="AT27" s="141"/>
      <c r="AU27" s="141"/>
    </row>
    <row r="28" customHeight="1" spans="1:47">
      <c r="A28" s="162" t="str">
        <f t="shared" si="15"/>
        <v/>
      </c>
      <c r="B28" s="171"/>
      <c r="C28" s="165" t="str">
        <f>IFERROR(RANK(A28,$A$12:$A$125,0)+COUNTIFS(A$12:A28,A28)-1,"")</f>
        <v/>
      </c>
      <c r="D28" s="166" t="s">
        <v>949</v>
      </c>
      <c r="E28" s="165" t="s">
        <v>917</v>
      </c>
      <c r="F28" s="167" t="s">
        <v>921</v>
      </c>
      <c r="G28" s="167" t="s">
        <v>934</v>
      </c>
      <c r="H28" s="168" t="s">
        <v>950</v>
      </c>
      <c r="I28" s="203" t="s">
        <v>951</v>
      </c>
      <c r="J28" s="215" t="s">
        <v>952</v>
      </c>
      <c r="K28" s="203">
        <f>392364/1.08</f>
        <v>363300</v>
      </c>
      <c r="L28" s="204"/>
      <c r="M28" s="204"/>
      <c r="N28" s="205">
        <f t="shared" si="0"/>
        <v>0</v>
      </c>
      <c r="O28" s="206" t="e">
        <f t="shared" si="1"/>
        <v>#DIV/0!</v>
      </c>
      <c r="P28" s="207">
        <f t="shared" si="2"/>
        <v>0</v>
      </c>
      <c r="Q28" s="234">
        <f t="shared" si="3"/>
        <v>0</v>
      </c>
      <c r="R28" s="235">
        <f t="shared" si="4"/>
        <v>0</v>
      </c>
      <c r="S28" s="236">
        <v>0.08</v>
      </c>
      <c r="T28" s="235">
        <f t="shared" si="5"/>
        <v>0</v>
      </c>
      <c r="U28" s="235">
        <f t="shared" si="6"/>
        <v>0</v>
      </c>
      <c r="V28" s="235">
        <f t="shared" si="7"/>
        <v>0</v>
      </c>
      <c r="W28" s="237" t="str">
        <f t="shared" si="8"/>
        <v>海天牌海天金标生抽（经典版）</v>
      </c>
      <c r="X28" s="238" t="s">
        <v>953</v>
      </c>
      <c r="Y28" s="259" t="s">
        <v>954</v>
      </c>
      <c r="Z28" s="260" t="s">
        <v>878</v>
      </c>
      <c r="AA28" s="261">
        <v>0.385</v>
      </c>
      <c r="AB28" s="261">
        <v>0.284</v>
      </c>
      <c r="AC28" s="261">
        <v>0.184</v>
      </c>
      <c r="AD28" s="262">
        <f t="shared" si="9"/>
        <v>0</v>
      </c>
      <c r="AE28" s="262">
        <f t="shared" si="10"/>
        <v>0</v>
      </c>
      <c r="AF28" s="263">
        <f t="shared" si="11"/>
        <v>0</v>
      </c>
      <c r="AG28" s="278" t="s">
        <v>955</v>
      </c>
      <c r="AH28" s="278" t="s">
        <v>956</v>
      </c>
      <c r="AI28" s="244">
        <f t="shared" si="12"/>
        <v>0</v>
      </c>
      <c r="AJ28" s="244">
        <f t="shared" si="13"/>
        <v>0</v>
      </c>
      <c r="AK28" s="244">
        <f t="shared" si="14"/>
        <v>0</v>
      </c>
      <c r="AL28" s="244"/>
      <c r="AM28" s="141"/>
      <c r="AN28" s="283"/>
      <c r="AO28" s="290"/>
      <c r="AP28" s="290"/>
      <c r="AQ28" s="290"/>
      <c r="AR28" s="290"/>
      <c r="AS28" s="290"/>
      <c r="AT28" s="141"/>
      <c r="AU28" s="141"/>
    </row>
    <row r="29" customHeight="1" spans="1:47">
      <c r="A29" s="162" t="str">
        <f t="shared" si="15"/>
        <v/>
      </c>
      <c r="B29" s="171"/>
      <c r="C29" s="165" t="str">
        <f>IFERROR(RANK(A29,$A$12:$A$125,0)+COUNTIFS(A$12:A29,A29)-1,"")</f>
        <v/>
      </c>
      <c r="D29" s="166" t="s">
        <v>957</v>
      </c>
      <c r="E29" s="165" t="s">
        <v>917</v>
      </c>
      <c r="F29" s="167" t="s">
        <v>921</v>
      </c>
      <c r="G29" s="167" t="s">
        <v>958</v>
      </c>
      <c r="H29" s="168" t="s">
        <v>959</v>
      </c>
      <c r="I29" s="203" t="s">
        <v>960</v>
      </c>
      <c r="J29" s="203" t="s">
        <v>961</v>
      </c>
      <c r="K29" s="203">
        <v>266600</v>
      </c>
      <c r="L29" s="204"/>
      <c r="M29" s="204"/>
      <c r="N29" s="205">
        <f t="shared" si="0"/>
        <v>0</v>
      </c>
      <c r="O29" s="205" t="e">
        <f t="shared" si="1"/>
        <v>#DIV/0!</v>
      </c>
      <c r="P29" s="207">
        <f t="shared" si="2"/>
        <v>0</v>
      </c>
      <c r="Q29" s="234">
        <f t="shared" si="3"/>
        <v>0</v>
      </c>
      <c r="R29" s="235">
        <f t="shared" si="4"/>
        <v>0</v>
      </c>
      <c r="S29" s="236">
        <v>0.08</v>
      </c>
      <c r="T29" s="235">
        <f t="shared" si="5"/>
        <v>0</v>
      </c>
      <c r="U29" s="235">
        <f t="shared" si="6"/>
        <v>0</v>
      </c>
      <c r="V29" s="235">
        <f t="shared" si="7"/>
        <v>0</v>
      </c>
      <c r="W29" s="237" t="str">
        <f t="shared" si="8"/>
        <v>海天牌海天金标生抽（经典版）</v>
      </c>
      <c r="X29" s="238" t="s">
        <v>902</v>
      </c>
      <c r="Y29" s="259" t="s">
        <v>962</v>
      </c>
      <c r="Z29" s="260" t="s">
        <v>963</v>
      </c>
      <c r="AA29" s="261">
        <v>0.272</v>
      </c>
      <c r="AB29" s="261">
        <v>0.206</v>
      </c>
      <c r="AC29" s="261">
        <v>0.258</v>
      </c>
      <c r="AD29" s="262">
        <f t="shared" si="9"/>
        <v>0</v>
      </c>
      <c r="AE29" s="262">
        <f t="shared" si="10"/>
        <v>0</v>
      </c>
      <c r="AF29" s="263">
        <f t="shared" si="11"/>
        <v>0</v>
      </c>
      <c r="AG29" s="278" t="s">
        <v>905</v>
      </c>
      <c r="AH29" s="278" t="s">
        <v>964</v>
      </c>
      <c r="AI29" s="244">
        <f t="shared" si="12"/>
        <v>0</v>
      </c>
      <c r="AJ29" s="244">
        <f t="shared" si="13"/>
        <v>0</v>
      </c>
      <c r="AK29" s="244">
        <f t="shared" si="14"/>
        <v>0</v>
      </c>
      <c r="AL29" s="244"/>
      <c r="AM29" s="141"/>
      <c r="AN29" s="283"/>
      <c r="AO29" s="290"/>
      <c r="AP29" s="290"/>
      <c r="AQ29" s="290"/>
      <c r="AR29" s="290"/>
      <c r="AS29" s="290"/>
      <c r="AT29" s="141"/>
      <c r="AU29" s="141"/>
    </row>
    <row r="30" customHeight="1" spans="1:47">
      <c r="A30" s="162" t="str">
        <f t="shared" si="15"/>
        <v/>
      </c>
      <c r="B30" s="171"/>
      <c r="C30" s="165" t="str">
        <f>IFERROR(RANK(A30,$A$12:$A$125,0)+COUNTIFS(A$12:A30,A30)-1,"")</f>
        <v/>
      </c>
      <c r="D30" s="166" t="s">
        <v>965</v>
      </c>
      <c r="E30" s="165" t="s">
        <v>917</v>
      </c>
      <c r="F30" s="167" t="s">
        <v>921</v>
      </c>
      <c r="G30" s="167" t="s">
        <v>958</v>
      </c>
      <c r="H30" s="168" t="s">
        <v>959</v>
      </c>
      <c r="I30" s="203" t="s">
        <v>966</v>
      </c>
      <c r="J30" s="203" t="s">
        <v>967</v>
      </c>
      <c r="K30" s="203">
        <v>266600</v>
      </c>
      <c r="L30" s="204"/>
      <c r="M30" s="204"/>
      <c r="N30" s="205">
        <f t="shared" si="0"/>
        <v>0</v>
      </c>
      <c r="O30" s="205" t="e">
        <f t="shared" si="1"/>
        <v>#DIV/0!</v>
      </c>
      <c r="P30" s="207">
        <f t="shared" si="2"/>
        <v>0</v>
      </c>
      <c r="Q30" s="234">
        <f t="shared" si="3"/>
        <v>0</v>
      </c>
      <c r="R30" s="235">
        <f t="shared" si="4"/>
        <v>0</v>
      </c>
      <c r="S30" s="236">
        <v>0.08</v>
      </c>
      <c r="T30" s="235">
        <f t="shared" si="5"/>
        <v>0</v>
      </c>
      <c r="U30" s="235">
        <f t="shared" si="6"/>
        <v>0</v>
      </c>
      <c r="V30" s="235">
        <f t="shared" si="7"/>
        <v>0</v>
      </c>
      <c r="W30" s="237" t="str">
        <f t="shared" si="8"/>
        <v>海天牌海天金标生抽（经典版）</v>
      </c>
      <c r="X30" s="238" t="s">
        <v>902</v>
      </c>
      <c r="Y30" s="259" t="s">
        <v>962</v>
      </c>
      <c r="Z30" s="260" t="s">
        <v>963</v>
      </c>
      <c r="AA30" s="261">
        <v>0.273</v>
      </c>
      <c r="AB30" s="261">
        <v>0.202</v>
      </c>
      <c r="AC30" s="261">
        <v>0.255</v>
      </c>
      <c r="AD30" s="262">
        <f t="shared" si="9"/>
        <v>0</v>
      </c>
      <c r="AE30" s="262">
        <f t="shared" si="10"/>
        <v>0</v>
      </c>
      <c r="AF30" s="263">
        <f t="shared" si="11"/>
        <v>0</v>
      </c>
      <c r="AG30" s="278" t="s">
        <v>828</v>
      </c>
      <c r="AH30" s="278" t="s">
        <v>964</v>
      </c>
      <c r="AI30" s="244">
        <f t="shared" si="12"/>
        <v>0</v>
      </c>
      <c r="AJ30" s="244">
        <f t="shared" si="13"/>
        <v>0</v>
      </c>
      <c r="AK30" s="244">
        <f t="shared" si="14"/>
        <v>0</v>
      </c>
      <c r="AL30" s="244"/>
      <c r="AM30" s="141"/>
      <c r="AN30" s="22" t="s">
        <v>968</v>
      </c>
      <c r="AO30" s="22" t="s">
        <v>969</v>
      </c>
      <c r="AP30" s="22" t="s">
        <v>970</v>
      </c>
      <c r="AQ30" s="22" t="s">
        <v>971</v>
      </c>
      <c r="AR30" s="22" t="s">
        <v>972</v>
      </c>
      <c r="AS30" s="22" t="s">
        <v>973</v>
      </c>
      <c r="AT30" s="141"/>
      <c r="AU30" s="141"/>
    </row>
    <row r="31" s="134" customFormat="1" customHeight="1" spans="1:51">
      <c r="A31" s="162" t="str">
        <f t="shared" si="15"/>
        <v/>
      </c>
      <c r="B31" s="171"/>
      <c r="C31" s="165" t="str">
        <f>IFERROR(RANK(A31,$A$12:$A$125,0)+COUNTIFS(A$12:A31,A31)-1,"")</f>
        <v/>
      </c>
      <c r="D31" s="166" t="s">
        <v>974</v>
      </c>
      <c r="E31" s="165" t="s">
        <v>820</v>
      </c>
      <c r="F31" s="167" t="s">
        <v>921</v>
      </c>
      <c r="G31" s="167" t="s">
        <v>958</v>
      </c>
      <c r="H31" s="168" t="s">
        <v>959</v>
      </c>
      <c r="I31" s="203" t="s">
        <v>975</v>
      </c>
      <c r="J31" s="203" t="s">
        <v>961</v>
      </c>
      <c r="K31" s="203">
        <v>266600</v>
      </c>
      <c r="L31" s="204"/>
      <c r="M31" s="204"/>
      <c r="N31" s="205">
        <f t="shared" si="0"/>
        <v>0</v>
      </c>
      <c r="O31" s="205" t="e">
        <f t="shared" si="1"/>
        <v>#DIV/0!</v>
      </c>
      <c r="P31" s="207">
        <f t="shared" si="2"/>
        <v>0</v>
      </c>
      <c r="Q31" s="234">
        <f t="shared" si="3"/>
        <v>0</v>
      </c>
      <c r="R31" s="235">
        <f t="shared" si="4"/>
        <v>0</v>
      </c>
      <c r="S31" s="236">
        <v>0.08</v>
      </c>
      <c r="T31" s="235">
        <f t="shared" si="5"/>
        <v>0</v>
      </c>
      <c r="U31" s="235">
        <f t="shared" si="6"/>
        <v>0</v>
      </c>
      <c r="V31" s="235">
        <f t="shared" si="7"/>
        <v>0</v>
      </c>
      <c r="W31" s="237" t="str">
        <f t="shared" si="8"/>
        <v>海天牌海天金标生抽（经典版）</v>
      </c>
      <c r="X31" s="238" t="s">
        <v>902</v>
      </c>
      <c r="Y31" s="259" t="s">
        <v>962</v>
      </c>
      <c r="Z31" s="260" t="s">
        <v>963</v>
      </c>
      <c r="AA31" s="261">
        <v>0.272</v>
      </c>
      <c r="AB31" s="261">
        <v>0.206</v>
      </c>
      <c r="AC31" s="261">
        <v>0.258</v>
      </c>
      <c r="AD31" s="262">
        <f t="shared" si="9"/>
        <v>0</v>
      </c>
      <c r="AE31" s="262">
        <f t="shared" si="10"/>
        <v>0</v>
      </c>
      <c r="AF31" s="263">
        <f t="shared" si="11"/>
        <v>0</v>
      </c>
      <c r="AG31" s="278" t="s">
        <v>905</v>
      </c>
      <c r="AH31" s="278" t="s">
        <v>964</v>
      </c>
      <c r="AI31" s="244">
        <f t="shared" si="12"/>
        <v>0</v>
      </c>
      <c r="AJ31" s="244">
        <f t="shared" si="13"/>
        <v>0</v>
      </c>
      <c r="AK31" s="244">
        <f t="shared" si="14"/>
        <v>0</v>
      </c>
      <c r="AL31" s="244"/>
      <c r="AM31" s="141"/>
      <c r="AN31" s="22" t="s">
        <v>976</v>
      </c>
      <c r="AO31" s="22" t="s">
        <v>977</v>
      </c>
      <c r="AP31" s="22" t="s">
        <v>978</v>
      </c>
      <c r="AQ31" s="291" t="s">
        <v>979</v>
      </c>
      <c r="AR31" s="292" t="s">
        <v>980</v>
      </c>
      <c r="AS31" s="291" t="s">
        <v>981</v>
      </c>
      <c r="AT31" s="293"/>
      <c r="AU31" s="141"/>
      <c r="AV31" s="294"/>
      <c r="AX31" s="294"/>
      <c r="AY31" s="294"/>
    </row>
    <row r="32" s="134" customFormat="1" customHeight="1" spans="1:51">
      <c r="A32" s="162" t="str">
        <f t="shared" si="15"/>
        <v/>
      </c>
      <c r="B32" s="171"/>
      <c r="C32" s="165" t="str">
        <f>IFERROR(RANK(A32,$A$12:$A$125,0)+COUNTIFS(A$12:A32,A32)-1,"")</f>
        <v/>
      </c>
      <c r="D32" s="166" t="s">
        <v>982</v>
      </c>
      <c r="E32" s="165" t="s">
        <v>820</v>
      </c>
      <c r="F32" s="167" t="s">
        <v>921</v>
      </c>
      <c r="G32" s="167" t="s">
        <v>958</v>
      </c>
      <c r="H32" s="168" t="s">
        <v>959</v>
      </c>
      <c r="I32" s="203" t="s">
        <v>983</v>
      </c>
      <c r="J32" s="203" t="s">
        <v>984</v>
      </c>
      <c r="K32" s="203">
        <v>266600</v>
      </c>
      <c r="L32" s="204"/>
      <c r="M32" s="204"/>
      <c r="N32" s="205">
        <f t="shared" si="0"/>
        <v>0</v>
      </c>
      <c r="O32" s="205" t="e">
        <f t="shared" si="1"/>
        <v>#DIV/0!</v>
      </c>
      <c r="P32" s="207">
        <f t="shared" si="2"/>
        <v>0</v>
      </c>
      <c r="Q32" s="234">
        <f t="shared" si="3"/>
        <v>0</v>
      </c>
      <c r="R32" s="235">
        <f t="shared" si="4"/>
        <v>0</v>
      </c>
      <c r="S32" s="236">
        <v>0.08</v>
      </c>
      <c r="T32" s="235">
        <f t="shared" si="5"/>
        <v>0</v>
      </c>
      <c r="U32" s="235">
        <f t="shared" si="6"/>
        <v>0</v>
      </c>
      <c r="V32" s="235">
        <f t="shared" si="7"/>
        <v>0</v>
      </c>
      <c r="W32" s="237" t="str">
        <f t="shared" si="8"/>
        <v>海天牌海天金标生抽（经典版）</v>
      </c>
      <c r="X32" s="238" t="s">
        <v>902</v>
      </c>
      <c r="Y32" s="259" t="s">
        <v>962</v>
      </c>
      <c r="Z32" s="260" t="s">
        <v>963</v>
      </c>
      <c r="AA32" s="261">
        <v>0.273</v>
      </c>
      <c r="AB32" s="261">
        <v>0.202</v>
      </c>
      <c r="AC32" s="261">
        <v>0.255</v>
      </c>
      <c r="AD32" s="262">
        <f t="shared" si="9"/>
        <v>0</v>
      </c>
      <c r="AE32" s="262">
        <f t="shared" si="10"/>
        <v>0</v>
      </c>
      <c r="AF32" s="263">
        <f t="shared" si="11"/>
        <v>0</v>
      </c>
      <c r="AG32" s="278" t="s">
        <v>828</v>
      </c>
      <c r="AH32" s="278" t="s">
        <v>964</v>
      </c>
      <c r="AI32" s="244">
        <f t="shared" si="12"/>
        <v>0</v>
      </c>
      <c r="AJ32" s="244">
        <f t="shared" si="13"/>
        <v>0</v>
      </c>
      <c r="AK32" s="244">
        <f t="shared" si="14"/>
        <v>0</v>
      </c>
      <c r="AL32" s="244"/>
      <c r="AM32" s="141"/>
      <c r="AN32" s="22"/>
      <c r="AO32" s="22" t="s">
        <v>985</v>
      </c>
      <c r="AP32" s="22" t="s">
        <v>986</v>
      </c>
      <c r="AQ32" s="295"/>
      <c r="AR32" s="292"/>
      <c r="AS32" s="296"/>
      <c r="AT32" s="293"/>
      <c r="AU32" s="141"/>
      <c r="AV32" s="294"/>
      <c r="AX32" s="294"/>
      <c r="AY32" s="294"/>
    </row>
    <row r="33" s="134" customFormat="1" customHeight="1" spans="1:51">
      <c r="A33" s="162" t="str">
        <f t="shared" si="15"/>
        <v/>
      </c>
      <c r="B33" s="171"/>
      <c r="C33" s="165" t="str">
        <f>IFERROR(RANK(A33,$A$12:$A$125,0)+COUNTIFS(A$12:A33,A33)-1,"")</f>
        <v/>
      </c>
      <c r="D33" s="166" t="s">
        <v>987</v>
      </c>
      <c r="E33" s="165" t="s">
        <v>917</v>
      </c>
      <c r="F33" s="167" t="s">
        <v>921</v>
      </c>
      <c r="G33" s="167" t="s">
        <v>988</v>
      </c>
      <c r="H33" s="168" t="s">
        <v>959</v>
      </c>
      <c r="I33" s="203" t="s">
        <v>989</v>
      </c>
      <c r="J33" s="203" t="s">
        <v>990</v>
      </c>
      <c r="K33" s="203">
        <v>266600</v>
      </c>
      <c r="L33" s="204"/>
      <c r="M33" s="204"/>
      <c r="N33" s="205">
        <f t="shared" si="0"/>
        <v>0</v>
      </c>
      <c r="O33" s="205" t="e">
        <f t="shared" si="1"/>
        <v>#DIV/0!</v>
      </c>
      <c r="P33" s="207">
        <f t="shared" si="2"/>
        <v>0</v>
      </c>
      <c r="Q33" s="234">
        <f t="shared" si="3"/>
        <v>0</v>
      </c>
      <c r="R33" s="235">
        <f t="shared" si="4"/>
        <v>0</v>
      </c>
      <c r="S33" s="236">
        <v>0.08</v>
      </c>
      <c r="T33" s="235">
        <f t="shared" si="5"/>
        <v>0</v>
      </c>
      <c r="U33" s="235">
        <f t="shared" si="6"/>
        <v>0</v>
      </c>
      <c r="V33" s="235">
        <f t="shared" si="7"/>
        <v>0</v>
      </c>
      <c r="W33" s="237" t="str">
        <f t="shared" si="8"/>
        <v>海天牌海天金标生抽（经典版）</v>
      </c>
      <c r="X33" s="238" t="s">
        <v>902</v>
      </c>
      <c r="Y33" s="259" t="s">
        <v>826</v>
      </c>
      <c r="Z33" s="260" t="s">
        <v>963</v>
      </c>
      <c r="AA33" s="261">
        <v>0.266</v>
      </c>
      <c r="AB33" s="261">
        <v>0.197</v>
      </c>
      <c r="AC33" s="261">
        <v>0.25</v>
      </c>
      <c r="AD33" s="262">
        <f t="shared" si="9"/>
        <v>0</v>
      </c>
      <c r="AE33" s="262">
        <f t="shared" si="10"/>
        <v>0</v>
      </c>
      <c r="AF33" s="263">
        <f t="shared" si="11"/>
        <v>0</v>
      </c>
      <c r="AG33" s="278" t="s">
        <v>855</v>
      </c>
      <c r="AH33" s="278" t="s">
        <v>829</v>
      </c>
      <c r="AI33" s="244">
        <f t="shared" si="12"/>
        <v>0</v>
      </c>
      <c r="AJ33" s="244">
        <f t="shared" si="13"/>
        <v>0</v>
      </c>
      <c r="AK33" s="244">
        <f t="shared" si="14"/>
        <v>0</v>
      </c>
      <c r="AL33" s="284" t="s">
        <v>991</v>
      </c>
      <c r="AM33" s="141"/>
      <c r="AN33" s="22"/>
      <c r="AO33" s="22" t="s">
        <v>992</v>
      </c>
      <c r="AP33" s="22" t="s">
        <v>993</v>
      </c>
      <c r="AQ33" s="295"/>
      <c r="AR33" s="292"/>
      <c r="AS33" s="296"/>
      <c r="AT33" s="293"/>
      <c r="AU33" s="141"/>
      <c r="AV33" s="294"/>
      <c r="AX33" s="294"/>
      <c r="AY33" s="294"/>
    </row>
    <row r="34" customHeight="1" spans="1:47">
      <c r="A34" s="162" t="str">
        <f t="shared" si="15"/>
        <v/>
      </c>
      <c r="B34" s="171"/>
      <c r="C34" s="165" t="str">
        <f>IFERROR(RANK(A34,$A$12:$A$125,0)+COUNTIFS(A$12:A34,A34)-1,"")</f>
        <v/>
      </c>
      <c r="D34" s="166" t="s">
        <v>994</v>
      </c>
      <c r="E34" s="165" t="s">
        <v>917</v>
      </c>
      <c r="F34" s="167" t="s">
        <v>921</v>
      </c>
      <c r="G34" s="167" t="s">
        <v>995</v>
      </c>
      <c r="H34" s="168" t="s">
        <v>996</v>
      </c>
      <c r="I34" s="203" t="s">
        <v>997</v>
      </c>
      <c r="J34" s="203" t="s">
        <v>998</v>
      </c>
      <c r="K34" s="203">
        <v>389200</v>
      </c>
      <c r="L34" s="204"/>
      <c r="M34" s="204"/>
      <c r="N34" s="205">
        <f t="shared" si="0"/>
        <v>0</v>
      </c>
      <c r="O34" s="206" t="e">
        <f t="shared" si="1"/>
        <v>#DIV/0!</v>
      </c>
      <c r="P34" s="207">
        <f t="shared" si="2"/>
        <v>0</v>
      </c>
      <c r="Q34" s="234">
        <f t="shared" si="3"/>
        <v>0</v>
      </c>
      <c r="R34" s="235">
        <f t="shared" si="4"/>
        <v>0</v>
      </c>
      <c r="S34" s="236">
        <v>0.08</v>
      </c>
      <c r="T34" s="235">
        <f t="shared" si="5"/>
        <v>0</v>
      </c>
      <c r="U34" s="235">
        <f t="shared" si="6"/>
        <v>0</v>
      </c>
      <c r="V34" s="235">
        <f t="shared" si="7"/>
        <v>0</v>
      </c>
      <c r="W34" s="237" t="str">
        <f t="shared" si="8"/>
        <v>海天牌海天金标生抽（经典版）</v>
      </c>
      <c r="X34" s="238" t="s">
        <v>836</v>
      </c>
      <c r="Y34" s="259" t="s">
        <v>999</v>
      </c>
      <c r="Z34" s="260" t="s">
        <v>1000</v>
      </c>
      <c r="AA34" s="261">
        <v>0.351</v>
      </c>
      <c r="AB34" s="261">
        <v>0.238</v>
      </c>
      <c r="AC34" s="261">
        <v>0.303</v>
      </c>
      <c r="AD34" s="262">
        <f t="shared" si="9"/>
        <v>0</v>
      </c>
      <c r="AE34" s="262">
        <f t="shared" si="10"/>
        <v>0</v>
      </c>
      <c r="AF34" s="263">
        <f t="shared" si="11"/>
        <v>0</v>
      </c>
      <c r="AG34" s="278" t="s">
        <v>839</v>
      </c>
      <c r="AH34" s="278" t="s">
        <v>1001</v>
      </c>
      <c r="AI34" s="244">
        <f t="shared" si="12"/>
        <v>0</v>
      </c>
      <c r="AJ34" s="244">
        <f t="shared" si="13"/>
        <v>0</v>
      </c>
      <c r="AK34" s="244">
        <f t="shared" si="14"/>
        <v>0</v>
      </c>
      <c r="AL34" s="244"/>
      <c r="AM34" s="141"/>
      <c r="AN34" s="22"/>
      <c r="AO34" s="22" t="s">
        <v>1002</v>
      </c>
      <c r="AP34" s="22" t="s">
        <v>986</v>
      </c>
      <c r="AQ34" s="295"/>
      <c r="AR34" s="292"/>
      <c r="AS34" s="296"/>
      <c r="AT34" s="141"/>
      <c r="AU34" s="141"/>
    </row>
    <row r="35" ht="19.5" customHeight="1" spans="1:47">
      <c r="A35" s="162" t="str">
        <f t="shared" si="15"/>
        <v/>
      </c>
      <c r="B35" s="171"/>
      <c r="C35" s="165" t="str">
        <f>IFERROR(RANK(A35,$A$12:$A$125,0)+COUNTIFS(A$12:A35,A35)-1,"")</f>
        <v/>
      </c>
      <c r="D35" s="166" t="s">
        <v>1003</v>
      </c>
      <c r="E35" s="165" t="s">
        <v>917</v>
      </c>
      <c r="F35" s="167" t="s">
        <v>921</v>
      </c>
      <c r="G35" s="167" t="s">
        <v>995</v>
      </c>
      <c r="H35" s="168" t="s">
        <v>996</v>
      </c>
      <c r="I35" s="203" t="s">
        <v>1004</v>
      </c>
      <c r="J35" s="203" t="s">
        <v>998</v>
      </c>
      <c r="K35" s="203">
        <v>389200</v>
      </c>
      <c r="L35" s="204"/>
      <c r="M35" s="204"/>
      <c r="N35" s="205">
        <f t="shared" si="0"/>
        <v>0</v>
      </c>
      <c r="O35" s="206" t="e">
        <f t="shared" si="1"/>
        <v>#DIV/0!</v>
      </c>
      <c r="P35" s="207">
        <f t="shared" si="2"/>
        <v>0</v>
      </c>
      <c r="Q35" s="234">
        <f t="shared" si="3"/>
        <v>0</v>
      </c>
      <c r="R35" s="235">
        <f t="shared" si="4"/>
        <v>0</v>
      </c>
      <c r="S35" s="236">
        <v>0.08</v>
      </c>
      <c r="T35" s="235">
        <f t="shared" si="5"/>
        <v>0</v>
      </c>
      <c r="U35" s="235">
        <f t="shared" si="6"/>
        <v>0</v>
      </c>
      <c r="V35" s="235">
        <f t="shared" si="7"/>
        <v>0</v>
      </c>
      <c r="W35" s="237" t="str">
        <f t="shared" si="8"/>
        <v>海天牌海天金标生抽（经典版）</v>
      </c>
      <c r="X35" s="238" t="s">
        <v>836</v>
      </c>
      <c r="Y35" s="259" t="s">
        <v>1005</v>
      </c>
      <c r="Z35" s="260" t="s">
        <v>1000</v>
      </c>
      <c r="AA35" s="261">
        <v>0.351</v>
      </c>
      <c r="AB35" s="261">
        <v>0.234</v>
      </c>
      <c r="AC35" s="261">
        <v>0.299</v>
      </c>
      <c r="AD35" s="262">
        <f t="shared" si="9"/>
        <v>0</v>
      </c>
      <c r="AE35" s="262">
        <f t="shared" si="10"/>
        <v>0</v>
      </c>
      <c r="AF35" s="263">
        <f t="shared" si="11"/>
        <v>0</v>
      </c>
      <c r="AG35" s="278" t="s">
        <v>862</v>
      </c>
      <c r="AH35" s="278" t="s">
        <v>1006</v>
      </c>
      <c r="AI35" s="244">
        <f t="shared" si="12"/>
        <v>0</v>
      </c>
      <c r="AJ35" s="244">
        <f t="shared" si="13"/>
        <v>0</v>
      </c>
      <c r="AK35" s="244">
        <f t="shared" si="14"/>
        <v>0</v>
      </c>
      <c r="AL35" s="244"/>
      <c r="AM35" s="141"/>
      <c r="AN35" s="22"/>
      <c r="AO35" s="22" t="s">
        <v>1007</v>
      </c>
      <c r="AP35" s="22" t="s">
        <v>986</v>
      </c>
      <c r="AQ35" s="295"/>
      <c r="AR35" s="292"/>
      <c r="AS35" s="296"/>
      <c r="AT35" s="141"/>
      <c r="AU35" s="141"/>
    </row>
    <row r="36" customHeight="1" spans="1:47">
      <c r="A36" s="162" t="str">
        <f t="shared" si="15"/>
        <v/>
      </c>
      <c r="B36" s="171"/>
      <c r="C36" s="165" t="str">
        <f>IFERROR(RANK(A36,$A$12:$A$125,0)+COUNTIFS(A$12:A36,A36)-1,"")</f>
        <v/>
      </c>
      <c r="D36" s="166" t="s">
        <v>1008</v>
      </c>
      <c r="E36" s="165" t="s">
        <v>820</v>
      </c>
      <c r="F36" s="167" t="s">
        <v>921</v>
      </c>
      <c r="G36" s="167" t="s">
        <v>995</v>
      </c>
      <c r="H36" s="168" t="s">
        <v>996</v>
      </c>
      <c r="I36" s="203" t="s">
        <v>1009</v>
      </c>
      <c r="J36" s="203" t="s">
        <v>998</v>
      </c>
      <c r="K36" s="203">
        <v>389200</v>
      </c>
      <c r="L36" s="204"/>
      <c r="M36" s="204"/>
      <c r="N36" s="205">
        <f t="shared" si="0"/>
        <v>0</v>
      </c>
      <c r="O36" s="206" t="e">
        <f t="shared" si="1"/>
        <v>#DIV/0!</v>
      </c>
      <c r="P36" s="207">
        <f t="shared" si="2"/>
        <v>0</v>
      </c>
      <c r="Q36" s="234">
        <f t="shared" si="3"/>
        <v>0</v>
      </c>
      <c r="R36" s="235">
        <f t="shared" si="4"/>
        <v>0</v>
      </c>
      <c r="S36" s="236">
        <v>0.08</v>
      </c>
      <c r="T36" s="235">
        <f t="shared" si="5"/>
        <v>0</v>
      </c>
      <c r="U36" s="235">
        <f t="shared" si="6"/>
        <v>0</v>
      </c>
      <c r="V36" s="235">
        <f t="shared" si="7"/>
        <v>0</v>
      </c>
      <c r="W36" s="237" t="str">
        <f t="shared" si="8"/>
        <v>海天牌海天金标生抽（经典版）</v>
      </c>
      <c r="X36" s="238" t="s">
        <v>836</v>
      </c>
      <c r="Y36" s="259" t="s">
        <v>999</v>
      </c>
      <c r="Z36" s="260" t="s">
        <v>1000</v>
      </c>
      <c r="AA36" s="261">
        <v>0.351</v>
      </c>
      <c r="AB36" s="261">
        <v>0.238</v>
      </c>
      <c r="AC36" s="261">
        <v>0.303</v>
      </c>
      <c r="AD36" s="262">
        <f t="shared" si="9"/>
        <v>0</v>
      </c>
      <c r="AE36" s="262">
        <f t="shared" si="10"/>
        <v>0</v>
      </c>
      <c r="AF36" s="263">
        <f t="shared" si="11"/>
        <v>0</v>
      </c>
      <c r="AG36" s="278" t="s">
        <v>839</v>
      </c>
      <c r="AH36" s="278" t="s">
        <v>1001</v>
      </c>
      <c r="AI36" s="244">
        <f t="shared" si="12"/>
        <v>0</v>
      </c>
      <c r="AJ36" s="244">
        <f t="shared" si="13"/>
        <v>0</v>
      </c>
      <c r="AK36" s="244">
        <f t="shared" si="14"/>
        <v>0</v>
      </c>
      <c r="AL36" s="244"/>
      <c r="AM36" s="141"/>
      <c r="AN36" s="22"/>
      <c r="AO36" s="22" t="s">
        <v>1010</v>
      </c>
      <c r="AP36" s="22" t="s">
        <v>986</v>
      </c>
      <c r="AQ36" s="295"/>
      <c r="AR36" s="292"/>
      <c r="AS36" s="296"/>
      <c r="AT36" s="141"/>
      <c r="AU36" s="141"/>
    </row>
    <row r="37" customHeight="1" spans="1:51">
      <c r="A37" s="162" t="str">
        <f t="shared" si="15"/>
        <v/>
      </c>
      <c r="B37" s="171"/>
      <c r="C37" s="165" t="str">
        <f>IFERROR(RANK(A37,$A$12:$A$125,0)+COUNTIFS(A$12:A37,A37)-1,"")</f>
        <v/>
      </c>
      <c r="D37" s="166" t="s">
        <v>1011</v>
      </c>
      <c r="E37" s="165" t="s">
        <v>820</v>
      </c>
      <c r="F37" s="167" t="s">
        <v>921</v>
      </c>
      <c r="G37" s="167" t="s">
        <v>995</v>
      </c>
      <c r="H37" s="168" t="s">
        <v>996</v>
      </c>
      <c r="I37" s="203" t="s">
        <v>1012</v>
      </c>
      <c r="J37" s="203" t="s">
        <v>998</v>
      </c>
      <c r="K37" s="203">
        <v>389200</v>
      </c>
      <c r="L37" s="204"/>
      <c r="M37" s="204"/>
      <c r="N37" s="205">
        <f t="shared" si="0"/>
        <v>0</v>
      </c>
      <c r="O37" s="206" t="e">
        <f t="shared" si="1"/>
        <v>#DIV/0!</v>
      </c>
      <c r="P37" s="207">
        <f t="shared" si="2"/>
        <v>0</v>
      </c>
      <c r="Q37" s="234">
        <f t="shared" si="3"/>
        <v>0</v>
      </c>
      <c r="R37" s="235">
        <f t="shared" si="4"/>
        <v>0</v>
      </c>
      <c r="S37" s="236">
        <v>0.08</v>
      </c>
      <c r="T37" s="235">
        <f t="shared" si="5"/>
        <v>0</v>
      </c>
      <c r="U37" s="235">
        <f t="shared" si="6"/>
        <v>0</v>
      </c>
      <c r="V37" s="235">
        <f t="shared" si="7"/>
        <v>0</v>
      </c>
      <c r="W37" s="237" t="str">
        <f t="shared" si="8"/>
        <v>海天牌海天金标生抽（经典版）</v>
      </c>
      <c r="X37" s="238" t="s">
        <v>836</v>
      </c>
      <c r="Y37" s="259" t="s">
        <v>1005</v>
      </c>
      <c r="Z37" s="260" t="s">
        <v>1000</v>
      </c>
      <c r="AA37" s="261">
        <v>0.351</v>
      </c>
      <c r="AB37" s="261">
        <v>0.234</v>
      </c>
      <c r="AC37" s="261">
        <v>0.299</v>
      </c>
      <c r="AD37" s="262">
        <f t="shared" si="9"/>
        <v>0</v>
      </c>
      <c r="AE37" s="262">
        <f t="shared" si="10"/>
        <v>0</v>
      </c>
      <c r="AF37" s="263">
        <f t="shared" si="11"/>
        <v>0</v>
      </c>
      <c r="AG37" s="278" t="s">
        <v>862</v>
      </c>
      <c r="AH37" s="278" t="s">
        <v>1006</v>
      </c>
      <c r="AI37" s="244">
        <f t="shared" si="12"/>
        <v>0</v>
      </c>
      <c r="AJ37" s="244">
        <f t="shared" si="13"/>
        <v>0</v>
      </c>
      <c r="AK37" s="244">
        <f t="shared" si="14"/>
        <v>0</v>
      </c>
      <c r="AL37" s="244"/>
      <c r="AM37" s="141"/>
      <c r="AN37" s="22"/>
      <c r="AO37" s="22" t="s">
        <v>1013</v>
      </c>
      <c r="AP37" s="22" t="s">
        <v>993</v>
      </c>
      <c r="AQ37" s="295"/>
      <c r="AR37" s="292"/>
      <c r="AS37" s="296"/>
      <c r="AT37" s="141"/>
      <c r="AU37" s="141"/>
      <c r="AY37" s="305"/>
    </row>
    <row r="38" customHeight="1" spans="1:51">
      <c r="A38" s="162" t="str">
        <f t="shared" si="15"/>
        <v/>
      </c>
      <c r="B38" s="171"/>
      <c r="C38" s="165" t="str">
        <f>IFERROR(RANK(A38,$A$12:$A$125,0)+COUNTIFS(A$12:A38,A38)-1,"")</f>
        <v/>
      </c>
      <c r="D38" s="166" t="s">
        <v>1014</v>
      </c>
      <c r="E38" s="165" t="s">
        <v>820</v>
      </c>
      <c r="F38" s="167" t="s">
        <v>921</v>
      </c>
      <c r="G38" s="167" t="s">
        <v>1015</v>
      </c>
      <c r="H38" s="168" t="s">
        <v>1016</v>
      </c>
      <c r="I38" s="203" t="s">
        <v>1017</v>
      </c>
      <c r="J38" s="203" t="s">
        <v>1018</v>
      </c>
      <c r="K38" s="203">
        <v>244000</v>
      </c>
      <c r="L38" s="204"/>
      <c r="M38" s="204"/>
      <c r="N38" s="205">
        <f t="shared" si="0"/>
        <v>0</v>
      </c>
      <c r="O38" s="206" t="e">
        <f t="shared" si="1"/>
        <v>#DIV/0!</v>
      </c>
      <c r="P38" s="207">
        <f t="shared" si="2"/>
        <v>0</v>
      </c>
      <c r="Q38" s="234">
        <f t="shared" si="3"/>
        <v>0</v>
      </c>
      <c r="R38" s="235">
        <f t="shared" si="4"/>
        <v>0</v>
      </c>
      <c r="S38" s="236">
        <v>0.08</v>
      </c>
      <c r="T38" s="235">
        <f t="shared" si="5"/>
        <v>0</v>
      </c>
      <c r="U38" s="235">
        <f t="shared" si="6"/>
        <v>0</v>
      </c>
      <c r="V38" s="235">
        <f t="shared" si="7"/>
        <v>0</v>
      </c>
      <c r="W38" s="237" t="str">
        <f t="shared" si="8"/>
        <v>海天牌海天金标生抽（经典版）</v>
      </c>
      <c r="X38" s="238" t="s">
        <v>869</v>
      </c>
      <c r="Y38" s="259">
        <v>12.6</v>
      </c>
      <c r="Z38" s="260">
        <v>11.9</v>
      </c>
      <c r="AA38" s="261">
        <v>0.31</v>
      </c>
      <c r="AB38" s="261">
        <v>0.155</v>
      </c>
      <c r="AC38" s="261">
        <v>0.347</v>
      </c>
      <c r="AD38" s="262">
        <f t="shared" si="9"/>
        <v>0</v>
      </c>
      <c r="AE38" s="262">
        <f t="shared" si="10"/>
        <v>0</v>
      </c>
      <c r="AF38" s="263">
        <f t="shared" si="11"/>
        <v>0</v>
      </c>
      <c r="AG38" s="278" t="s">
        <v>870</v>
      </c>
      <c r="AH38" s="278" t="s">
        <v>1019</v>
      </c>
      <c r="AI38" s="244">
        <f t="shared" si="12"/>
        <v>0</v>
      </c>
      <c r="AJ38" s="244">
        <f t="shared" si="13"/>
        <v>0</v>
      </c>
      <c r="AK38" s="244">
        <f t="shared" si="14"/>
        <v>0</v>
      </c>
      <c r="AL38" s="244"/>
      <c r="AM38" s="141"/>
      <c r="AN38" s="22"/>
      <c r="AO38" s="22"/>
      <c r="AP38" s="22"/>
      <c r="AQ38" s="295"/>
      <c r="AR38" s="292"/>
      <c r="AS38" s="296"/>
      <c r="AT38" s="141"/>
      <c r="AU38" s="141"/>
      <c r="AY38" s="305"/>
    </row>
    <row r="39" s="133" customFormat="1" customHeight="1" spans="1:51">
      <c r="A39" s="162" t="str">
        <f t="shared" si="15"/>
        <v/>
      </c>
      <c r="B39" s="178" t="s">
        <v>1020</v>
      </c>
      <c r="C39" s="165" t="str">
        <f>IFERROR(RANK(A39,$A$12:$A$125,0)+COUNTIFS(A$12:A39,A39)-1,"")</f>
        <v/>
      </c>
      <c r="D39" s="173" t="s">
        <v>1021</v>
      </c>
      <c r="E39" s="174" t="s">
        <v>820</v>
      </c>
      <c r="F39" s="175" t="s">
        <v>1020</v>
      </c>
      <c r="G39" s="175" t="s">
        <v>1022</v>
      </c>
      <c r="H39" s="176" t="s">
        <v>1023</v>
      </c>
      <c r="I39" s="203" t="s">
        <v>1024</v>
      </c>
      <c r="J39" s="208" t="s">
        <v>1025</v>
      </c>
      <c r="K39" s="208">
        <v>287900</v>
      </c>
      <c r="L39" s="209"/>
      <c r="M39" s="209"/>
      <c r="N39" s="210">
        <f t="shared" si="0"/>
        <v>0</v>
      </c>
      <c r="O39" s="211" t="e">
        <f t="shared" si="1"/>
        <v>#DIV/0!</v>
      </c>
      <c r="P39" s="212">
        <f t="shared" si="2"/>
        <v>0</v>
      </c>
      <c r="Q39" s="239">
        <f t="shared" si="3"/>
        <v>0</v>
      </c>
      <c r="R39" s="240">
        <f t="shared" si="4"/>
        <v>0</v>
      </c>
      <c r="S39" s="241">
        <v>0.08</v>
      </c>
      <c r="T39" s="240">
        <f t="shared" si="5"/>
        <v>0</v>
      </c>
      <c r="U39" s="240">
        <f t="shared" si="6"/>
        <v>0</v>
      </c>
      <c r="V39" s="240">
        <f t="shared" si="7"/>
        <v>0</v>
      </c>
      <c r="W39" s="242" t="str">
        <f t="shared" si="8"/>
        <v>海天牌海天招牌草菇老抽</v>
      </c>
      <c r="X39" s="243" t="s">
        <v>902</v>
      </c>
      <c r="Y39" s="264" t="s">
        <v>1026</v>
      </c>
      <c r="Z39" s="265" t="s">
        <v>939</v>
      </c>
      <c r="AA39" s="266">
        <v>0.292</v>
      </c>
      <c r="AB39" s="266">
        <v>0.215</v>
      </c>
      <c r="AC39" s="266">
        <v>0.247</v>
      </c>
      <c r="AD39" s="267">
        <f t="shared" si="9"/>
        <v>0</v>
      </c>
      <c r="AE39" s="267">
        <f t="shared" si="10"/>
        <v>0</v>
      </c>
      <c r="AF39" s="268">
        <f t="shared" si="11"/>
        <v>0</v>
      </c>
      <c r="AG39" s="278" t="s">
        <v>1027</v>
      </c>
      <c r="AH39" s="278" t="s">
        <v>1028</v>
      </c>
      <c r="AI39" s="244">
        <f t="shared" si="12"/>
        <v>0</v>
      </c>
      <c r="AJ39" s="244">
        <f t="shared" si="13"/>
        <v>0</v>
      </c>
      <c r="AK39" s="244">
        <f t="shared" si="14"/>
        <v>0</v>
      </c>
      <c r="AL39" s="279"/>
      <c r="AM39" s="280"/>
      <c r="AN39" s="285"/>
      <c r="AO39" s="285" t="s">
        <v>1029</v>
      </c>
      <c r="AP39" s="285" t="s">
        <v>993</v>
      </c>
      <c r="AQ39" s="297"/>
      <c r="AR39" s="298"/>
      <c r="AS39" s="299"/>
      <c r="AT39" s="280"/>
      <c r="AU39" s="280"/>
      <c r="AY39" s="306"/>
    </row>
    <row r="40" s="133" customFormat="1" customHeight="1" spans="1:47">
      <c r="A40" s="162" t="str">
        <f t="shared" si="15"/>
        <v/>
      </c>
      <c r="B40" s="179"/>
      <c r="C40" s="165" t="str">
        <f>IFERROR(RANK(A40,$A$12:$A$125,0)+COUNTIFS(A$12:A40,A40)-1,"")</f>
        <v/>
      </c>
      <c r="D40" s="173" t="s">
        <v>1030</v>
      </c>
      <c r="E40" s="174" t="s">
        <v>820</v>
      </c>
      <c r="F40" s="175" t="s">
        <v>1020</v>
      </c>
      <c r="G40" s="175" t="s">
        <v>1031</v>
      </c>
      <c r="H40" s="176" t="s">
        <v>1032</v>
      </c>
      <c r="I40" s="203" t="s">
        <v>1033</v>
      </c>
      <c r="J40" s="208" t="s">
        <v>1034</v>
      </c>
      <c r="K40" s="208">
        <v>410600</v>
      </c>
      <c r="L40" s="209"/>
      <c r="M40" s="209"/>
      <c r="N40" s="210">
        <f t="shared" si="0"/>
        <v>0</v>
      </c>
      <c r="O40" s="211" t="e">
        <f t="shared" si="1"/>
        <v>#DIV/0!</v>
      </c>
      <c r="P40" s="212">
        <f t="shared" si="2"/>
        <v>0</v>
      </c>
      <c r="Q40" s="239">
        <f t="shared" si="3"/>
        <v>0</v>
      </c>
      <c r="R40" s="240">
        <f t="shared" si="4"/>
        <v>0</v>
      </c>
      <c r="S40" s="241">
        <v>0.08</v>
      </c>
      <c r="T40" s="240">
        <f t="shared" si="5"/>
        <v>0</v>
      </c>
      <c r="U40" s="240">
        <f t="shared" si="6"/>
        <v>0</v>
      </c>
      <c r="V40" s="240">
        <f t="shared" si="7"/>
        <v>0</v>
      </c>
      <c r="W40" s="242" t="str">
        <f t="shared" si="8"/>
        <v>海天牌海天招牌草菇老抽</v>
      </c>
      <c r="X40" s="243" t="s">
        <v>891</v>
      </c>
      <c r="Y40" s="264" t="s">
        <v>1035</v>
      </c>
      <c r="Z40" s="265" t="s">
        <v>912</v>
      </c>
      <c r="AA40" s="266">
        <v>0.338</v>
      </c>
      <c r="AB40" s="266">
        <v>0.226</v>
      </c>
      <c r="AC40" s="266">
        <v>0.3</v>
      </c>
      <c r="AD40" s="267">
        <f t="shared" si="9"/>
        <v>0</v>
      </c>
      <c r="AE40" s="267">
        <f t="shared" si="10"/>
        <v>0</v>
      </c>
      <c r="AF40" s="268">
        <f t="shared" si="11"/>
        <v>0</v>
      </c>
      <c r="AG40" s="278" t="s">
        <v>914</v>
      </c>
      <c r="AH40" s="278" t="s">
        <v>1036</v>
      </c>
      <c r="AI40" s="244">
        <f t="shared" si="12"/>
        <v>0</v>
      </c>
      <c r="AJ40" s="244">
        <f t="shared" si="13"/>
        <v>0</v>
      </c>
      <c r="AK40" s="244">
        <f t="shared" si="14"/>
        <v>0</v>
      </c>
      <c r="AL40" s="279"/>
      <c r="AM40" s="280"/>
      <c r="AN40" s="285"/>
      <c r="AO40" s="285" t="s">
        <v>1037</v>
      </c>
      <c r="AP40" s="285" t="s">
        <v>1038</v>
      </c>
      <c r="AQ40" s="297"/>
      <c r="AR40" s="298"/>
      <c r="AS40" s="299"/>
      <c r="AT40" s="280"/>
      <c r="AU40" s="280"/>
    </row>
    <row r="41" customHeight="1" spans="1:47">
      <c r="A41" s="162" t="str">
        <f t="shared" si="15"/>
        <v/>
      </c>
      <c r="B41" s="165" t="s">
        <v>1039</v>
      </c>
      <c r="C41" s="165" t="str">
        <f>IFERROR(RANK(A41,$A$12:$A$125,0)+COUNTIFS(A$12:A41,A41)-1,"")</f>
        <v/>
      </c>
      <c r="D41" s="166" t="s">
        <v>1040</v>
      </c>
      <c r="E41" s="165" t="s">
        <v>820</v>
      </c>
      <c r="F41" s="167" t="s">
        <v>1041</v>
      </c>
      <c r="G41" s="167" t="s">
        <v>1042</v>
      </c>
      <c r="H41" s="168" t="s">
        <v>1043</v>
      </c>
      <c r="I41" s="203" t="s">
        <v>1044</v>
      </c>
      <c r="J41" s="203" t="s">
        <v>1045</v>
      </c>
      <c r="K41" s="203">
        <v>350000</v>
      </c>
      <c r="L41" s="204"/>
      <c r="M41" s="204"/>
      <c r="N41" s="205">
        <f t="shared" si="0"/>
        <v>0</v>
      </c>
      <c r="O41" s="206" t="e">
        <f t="shared" si="1"/>
        <v>#DIV/0!</v>
      </c>
      <c r="P41" s="207">
        <f t="shared" si="2"/>
        <v>0</v>
      </c>
      <c r="Q41" s="234">
        <f t="shared" si="3"/>
        <v>0</v>
      </c>
      <c r="R41" s="235">
        <f t="shared" si="4"/>
        <v>0</v>
      </c>
      <c r="S41" s="236">
        <v>0.08</v>
      </c>
      <c r="T41" s="235">
        <f t="shared" si="5"/>
        <v>0</v>
      </c>
      <c r="U41" s="235">
        <f t="shared" si="6"/>
        <v>0</v>
      </c>
      <c r="V41" s="235">
        <f t="shared" si="7"/>
        <v>0</v>
      </c>
      <c r="W41" s="237" t="str">
        <f t="shared" si="8"/>
        <v>海天牌海天一品鲜(复合调味料)</v>
      </c>
      <c r="X41" s="238" t="s">
        <v>891</v>
      </c>
      <c r="Y41" s="259" t="s">
        <v>912</v>
      </c>
      <c r="Z41" s="260" t="s">
        <v>913</v>
      </c>
      <c r="AA41" s="261">
        <v>0.338</v>
      </c>
      <c r="AB41" s="261">
        <v>0.226</v>
      </c>
      <c r="AC41" s="261">
        <v>0.3</v>
      </c>
      <c r="AD41" s="262">
        <f t="shared" si="9"/>
        <v>0</v>
      </c>
      <c r="AE41" s="262">
        <f t="shared" si="10"/>
        <v>0</v>
      </c>
      <c r="AF41" s="263">
        <f t="shared" si="11"/>
        <v>0</v>
      </c>
      <c r="AG41" s="278" t="s">
        <v>914</v>
      </c>
      <c r="AH41" s="278" t="s">
        <v>915</v>
      </c>
      <c r="AI41" s="244">
        <f t="shared" si="12"/>
        <v>0</v>
      </c>
      <c r="AJ41" s="244">
        <f t="shared" si="13"/>
        <v>0</v>
      </c>
      <c r="AK41" s="244">
        <f t="shared" si="14"/>
        <v>0</v>
      </c>
      <c r="AL41" s="244"/>
      <c r="AM41" s="141"/>
      <c r="AN41" s="22"/>
      <c r="AO41" s="22"/>
      <c r="AP41" s="22"/>
      <c r="AQ41" s="295"/>
      <c r="AR41" s="292"/>
      <c r="AS41" s="296"/>
      <c r="AT41" s="141"/>
      <c r="AU41" s="141"/>
    </row>
    <row r="42" customHeight="1" spans="1:47">
      <c r="A42" s="162" t="str">
        <f t="shared" si="15"/>
        <v/>
      </c>
      <c r="B42" s="165"/>
      <c r="C42" s="165" t="str">
        <f>IFERROR(RANK(A42,$A$12:$A$125,0)+COUNTIFS(A$12:A42,A42)-1,"")</f>
        <v/>
      </c>
      <c r="D42" s="166" t="s">
        <v>1046</v>
      </c>
      <c r="E42" s="165" t="s">
        <v>820</v>
      </c>
      <c r="F42" s="167" t="s">
        <v>1041</v>
      </c>
      <c r="G42" s="167" t="s">
        <v>1047</v>
      </c>
      <c r="H42" s="168" t="s">
        <v>1048</v>
      </c>
      <c r="I42" s="203" t="s">
        <v>1049</v>
      </c>
      <c r="J42" s="203" t="s">
        <v>1050</v>
      </c>
      <c r="K42" s="203">
        <v>216000</v>
      </c>
      <c r="L42" s="204"/>
      <c r="M42" s="204"/>
      <c r="N42" s="205">
        <f t="shared" si="0"/>
        <v>0</v>
      </c>
      <c r="O42" s="206" t="e">
        <f t="shared" si="1"/>
        <v>#DIV/0!</v>
      </c>
      <c r="P42" s="207">
        <f t="shared" si="2"/>
        <v>0</v>
      </c>
      <c r="Q42" s="234">
        <f t="shared" si="3"/>
        <v>0</v>
      </c>
      <c r="R42" s="235">
        <f t="shared" si="4"/>
        <v>0</v>
      </c>
      <c r="S42" s="236">
        <v>0.08</v>
      </c>
      <c r="T42" s="235">
        <f t="shared" si="5"/>
        <v>0</v>
      </c>
      <c r="U42" s="235">
        <f t="shared" si="6"/>
        <v>0</v>
      </c>
      <c r="V42" s="235">
        <f t="shared" si="7"/>
        <v>0</v>
      </c>
      <c r="W42" s="237" t="str">
        <f t="shared" si="8"/>
        <v>海天牌海天一品鲜(复合调味料)</v>
      </c>
      <c r="X42" s="238" t="s">
        <v>902</v>
      </c>
      <c r="Y42" s="259" t="s">
        <v>826</v>
      </c>
      <c r="Z42" s="260" t="s">
        <v>904</v>
      </c>
      <c r="AA42" s="261">
        <v>0.273</v>
      </c>
      <c r="AB42" s="261">
        <v>0.204</v>
      </c>
      <c r="AC42" s="261">
        <v>0.245</v>
      </c>
      <c r="AD42" s="262">
        <f t="shared" si="9"/>
        <v>0</v>
      </c>
      <c r="AE42" s="262">
        <f t="shared" si="10"/>
        <v>0</v>
      </c>
      <c r="AF42" s="263">
        <f t="shared" si="11"/>
        <v>0</v>
      </c>
      <c r="AG42" s="278" t="s">
        <v>855</v>
      </c>
      <c r="AH42" s="278" t="s">
        <v>829</v>
      </c>
      <c r="AI42" s="244">
        <f t="shared" si="12"/>
        <v>0</v>
      </c>
      <c r="AJ42" s="244">
        <f t="shared" si="13"/>
        <v>0</v>
      </c>
      <c r="AK42" s="244">
        <f t="shared" si="14"/>
        <v>0</v>
      </c>
      <c r="AL42" s="244"/>
      <c r="AM42" s="141"/>
      <c r="AN42" s="22"/>
      <c r="AO42" s="22"/>
      <c r="AP42" s="22"/>
      <c r="AQ42" s="295"/>
      <c r="AR42" s="292"/>
      <c r="AS42" s="296"/>
      <c r="AT42" s="141"/>
      <c r="AU42" s="141"/>
    </row>
    <row r="43" customHeight="1" spans="1:47">
      <c r="A43" s="162" t="str">
        <f t="shared" si="15"/>
        <v/>
      </c>
      <c r="B43" s="165" t="s">
        <v>1051</v>
      </c>
      <c r="C43" s="165" t="str">
        <f>IFERROR(RANK(A43,$A$12:$A$125,0)+COUNTIFS(A$12:A43,A43)-1,"")</f>
        <v/>
      </c>
      <c r="D43" s="166" t="s">
        <v>1052</v>
      </c>
      <c r="E43" s="165" t="s">
        <v>917</v>
      </c>
      <c r="F43" s="167" t="s">
        <v>1053</v>
      </c>
      <c r="G43" s="167" t="s">
        <v>1054</v>
      </c>
      <c r="H43" s="168" t="s">
        <v>1055</v>
      </c>
      <c r="I43" s="203" t="s">
        <v>1056</v>
      </c>
      <c r="J43" s="203" t="s">
        <v>1057</v>
      </c>
      <c r="K43" s="203">
        <v>217900</v>
      </c>
      <c r="L43" s="204"/>
      <c r="M43" s="204"/>
      <c r="N43" s="205">
        <f t="shared" si="0"/>
        <v>0</v>
      </c>
      <c r="O43" s="206" t="e">
        <f t="shared" si="1"/>
        <v>#DIV/0!</v>
      </c>
      <c r="P43" s="207">
        <f t="shared" si="2"/>
        <v>0</v>
      </c>
      <c r="Q43" s="234">
        <f t="shared" si="3"/>
        <v>0</v>
      </c>
      <c r="R43" s="235">
        <f t="shared" si="4"/>
        <v>0</v>
      </c>
      <c r="S43" s="236">
        <v>0.08</v>
      </c>
      <c r="T43" s="235">
        <f t="shared" si="5"/>
        <v>0</v>
      </c>
      <c r="U43" s="235">
        <f t="shared" si="6"/>
        <v>0</v>
      </c>
      <c r="V43" s="235">
        <f t="shared" si="7"/>
        <v>0</v>
      </c>
      <c r="W43" s="237" t="str">
        <f t="shared" si="8"/>
        <v>海天牌生抽酱油(经典版)</v>
      </c>
      <c r="X43" s="238" t="s">
        <v>836</v>
      </c>
      <c r="Y43" s="259">
        <v>14.1</v>
      </c>
      <c r="Z43" s="260">
        <v>13.2</v>
      </c>
      <c r="AA43" s="261">
        <v>0.351</v>
      </c>
      <c r="AB43" s="261">
        <v>0.238</v>
      </c>
      <c r="AC43" s="261">
        <v>0.303</v>
      </c>
      <c r="AD43" s="262">
        <f t="shared" si="9"/>
        <v>0</v>
      </c>
      <c r="AE43" s="262">
        <f t="shared" si="10"/>
        <v>0</v>
      </c>
      <c r="AF43" s="263">
        <f t="shared" si="11"/>
        <v>0</v>
      </c>
      <c r="AG43" s="278" t="s">
        <v>839</v>
      </c>
      <c r="AH43" s="278" t="s">
        <v>1058</v>
      </c>
      <c r="AI43" s="244">
        <f t="shared" si="12"/>
        <v>0</v>
      </c>
      <c r="AJ43" s="244">
        <f t="shared" si="13"/>
        <v>0</v>
      </c>
      <c r="AK43" s="244">
        <f t="shared" si="14"/>
        <v>0</v>
      </c>
      <c r="AL43" s="244"/>
      <c r="AM43" s="141"/>
      <c r="AN43" s="22"/>
      <c r="AO43" s="22"/>
      <c r="AP43" s="22"/>
      <c r="AQ43" s="295"/>
      <c r="AR43" s="292"/>
      <c r="AS43" s="296"/>
      <c r="AT43" s="141"/>
      <c r="AU43" s="141"/>
    </row>
    <row r="44" customHeight="1" spans="1:47">
      <c r="A44" s="162" t="str">
        <f t="shared" si="15"/>
        <v/>
      </c>
      <c r="B44" s="165"/>
      <c r="C44" s="165" t="str">
        <f>IFERROR(RANK(A44,$A$12:$A$125,0)+COUNTIFS(A$12:A44,A44)-1,"")</f>
        <v/>
      </c>
      <c r="D44" s="166" t="s">
        <v>1059</v>
      </c>
      <c r="E44" s="165" t="s">
        <v>917</v>
      </c>
      <c r="F44" s="167" t="s">
        <v>1053</v>
      </c>
      <c r="G44" s="167" t="s">
        <v>1060</v>
      </c>
      <c r="H44" s="168" t="s">
        <v>1061</v>
      </c>
      <c r="I44" s="203" t="s">
        <v>1062</v>
      </c>
      <c r="J44" s="203" t="s">
        <v>1063</v>
      </c>
      <c r="K44" s="203">
        <v>128500</v>
      </c>
      <c r="L44" s="204"/>
      <c r="M44" s="204"/>
      <c r="N44" s="205">
        <f t="shared" si="0"/>
        <v>0</v>
      </c>
      <c r="O44" s="206" t="e">
        <f t="shared" si="1"/>
        <v>#DIV/0!</v>
      </c>
      <c r="P44" s="207">
        <f t="shared" si="2"/>
        <v>0</v>
      </c>
      <c r="Q44" s="234">
        <f t="shared" si="3"/>
        <v>0</v>
      </c>
      <c r="R44" s="235">
        <f t="shared" si="4"/>
        <v>0</v>
      </c>
      <c r="S44" s="236">
        <v>0.08</v>
      </c>
      <c r="T44" s="235">
        <f t="shared" si="5"/>
        <v>0</v>
      </c>
      <c r="U44" s="235">
        <f t="shared" si="6"/>
        <v>0</v>
      </c>
      <c r="V44" s="235">
        <f t="shared" si="7"/>
        <v>0</v>
      </c>
      <c r="W44" s="237" t="str">
        <f t="shared" si="8"/>
        <v>海天牌生抽酱油(经典版)</v>
      </c>
      <c r="X44" s="238" t="s">
        <v>902</v>
      </c>
      <c r="Y44" s="259">
        <v>10</v>
      </c>
      <c r="Z44" s="260">
        <v>7</v>
      </c>
      <c r="AA44" s="261">
        <v>0.288</v>
      </c>
      <c r="AB44" s="261">
        <v>0.212</v>
      </c>
      <c r="AC44" s="261">
        <v>0.245</v>
      </c>
      <c r="AD44" s="262">
        <f t="shared" si="9"/>
        <v>0</v>
      </c>
      <c r="AE44" s="262">
        <f t="shared" si="10"/>
        <v>0</v>
      </c>
      <c r="AF44" s="263">
        <f t="shared" si="11"/>
        <v>0</v>
      </c>
      <c r="AG44" s="278" t="s">
        <v>905</v>
      </c>
      <c r="AH44" s="278" t="s">
        <v>1064</v>
      </c>
      <c r="AI44" s="244">
        <f t="shared" si="12"/>
        <v>0</v>
      </c>
      <c r="AJ44" s="244">
        <f t="shared" si="13"/>
        <v>0</v>
      </c>
      <c r="AK44" s="244">
        <f t="shared" si="14"/>
        <v>0</v>
      </c>
      <c r="AL44" s="244"/>
      <c r="AM44" s="141"/>
      <c r="AN44" s="22"/>
      <c r="AO44" s="22"/>
      <c r="AP44" s="22"/>
      <c r="AQ44" s="295"/>
      <c r="AR44" s="292"/>
      <c r="AS44" s="296"/>
      <c r="AT44" s="141"/>
      <c r="AU44" s="141"/>
    </row>
    <row r="45" customHeight="1" spans="1:47">
      <c r="A45" s="162" t="str">
        <f t="shared" si="15"/>
        <v/>
      </c>
      <c r="B45" s="165" t="s">
        <v>1065</v>
      </c>
      <c r="C45" s="165" t="str">
        <f>IFERROR(RANK(A45,$A$12:$A$125,0)+COUNTIFS(A$12:A45,A45)-1,"")</f>
        <v/>
      </c>
      <c r="D45" s="166" t="s">
        <v>1066</v>
      </c>
      <c r="E45" s="165" t="s">
        <v>917</v>
      </c>
      <c r="F45" s="167" t="s">
        <v>1067</v>
      </c>
      <c r="G45" s="167" t="s">
        <v>1068</v>
      </c>
      <c r="H45" s="168" t="s">
        <v>1069</v>
      </c>
      <c r="I45" s="203" t="s">
        <v>1070</v>
      </c>
      <c r="J45" s="203" t="s">
        <v>1071</v>
      </c>
      <c r="K45" s="203">
        <v>229100</v>
      </c>
      <c r="L45" s="204"/>
      <c r="M45" s="204"/>
      <c r="N45" s="205">
        <f t="shared" si="0"/>
        <v>0</v>
      </c>
      <c r="O45" s="206" t="e">
        <f t="shared" si="1"/>
        <v>#DIV/0!</v>
      </c>
      <c r="P45" s="207">
        <f t="shared" si="2"/>
        <v>0</v>
      </c>
      <c r="Q45" s="234">
        <f t="shared" si="3"/>
        <v>0</v>
      </c>
      <c r="R45" s="235">
        <f t="shared" si="4"/>
        <v>0</v>
      </c>
      <c r="S45" s="236">
        <v>0.08</v>
      </c>
      <c r="T45" s="235">
        <f t="shared" si="5"/>
        <v>0</v>
      </c>
      <c r="U45" s="235">
        <f t="shared" si="6"/>
        <v>0</v>
      </c>
      <c r="V45" s="235">
        <f t="shared" si="7"/>
        <v>0</v>
      </c>
      <c r="W45" s="237" t="str">
        <f t="shared" si="8"/>
        <v>海天牌老抽酱油(经典版)</v>
      </c>
      <c r="X45" s="238" t="s">
        <v>836</v>
      </c>
      <c r="Y45" s="259">
        <v>14.8</v>
      </c>
      <c r="Z45" s="260">
        <v>13.91</v>
      </c>
      <c r="AA45" s="261">
        <v>0.351</v>
      </c>
      <c r="AB45" s="261">
        <v>0.238</v>
      </c>
      <c r="AC45" s="261">
        <v>0.303</v>
      </c>
      <c r="AD45" s="262">
        <f t="shared" si="9"/>
        <v>0</v>
      </c>
      <c r="AE45" s="262">
        <f t="shared" si="10"/>
        <v>0</v>
      </c>
      <c r="AF45" s="263">
        <f t="shared" si="11"/>
        <v>0</v>
      </c>
      <c r="AG45" s="278" t="s">
        <v>839</v>
      </c>
      <c r="AH45" s="278" t="s">
        <v>1001</v>
      </c>
      <c r="AI45" s="244">
        <f t="shared" si="12"/>
        <v>0</v>
      </c>
      <c r="AJ45" s="244">
        <f t="shared" si="13"/>
        <v>0</v>
      </c>
      <c r="AK45" s="244">
        <f t="shared" si="14"/>
        <v>0</v>
      </c>
      <c r="AL45" s="244"/>
      <c r="AM45" s="141"/>
      <c r="AN45" s="22"/>
      <c r="AO45" s="22"/>
      <c r="AP45" s="22"/>
      <c r="AQ45" s="295"/>
      <c r="AR45" s="292"/>
      <c r="AS45" s="296"/>
      <c r="AT45" s="141"/>
      <c r="AU45" s="141"/>
    </row>
    <row r="46" customHeight="1" spans="1:47">
      <c r="A46" s="162" t="str">
        <f t="shared" si="15"/>
        <v/>
      </c>
      <c r="B46" s="165"/>
      <c r="C46" s="165" t="str">
        <f>IFERROR(RANK(A46,$A$12:$A$125,0)+COUNTIFS(A$12:A46,A46)-1,"")</f>
        <v/>
      </c>
      <c r="D46" s="166" t="s">
        <v>1072</v>
      </c>
      <c r="E46" s="165" t="s">
        <v>917</v>
      </c>
      <c r="F46" s="167" t="s">
        <v>1067</v>
      </c>
      <c r="G46" s="167" t="s">
        <v>1073</v>
      </c>
      <c r="H46" s="168" t="s">
        <v>1074</v>
      </c>
      <c r="I46" s="203" t="s">
        <v>1075</v>
      </c>
      <c r="J46" s="203" t="s">
        <v>1076</v>
      </c>
      <c r="K46" s="203">
        <v>142500</v>
      </c>
      <c r="L46" s="204"/>
      <c r="M46" s="204"/>
      <c r="N46" s="205">
        <f t="shared" si="0"/>
        <v>0</v>
      </c>
      <c r="O46" s="206" t="e">
        <f t="shared" si="1"/>
        <v>#DIV/0!</v>
      </c>
      <c r="P46" s="207">
        <f t="shared" si="2"/>
        <v>0</v>
      </c>
      <c r="Q46" s="234">
        <f t="shared" si="3"/>
        <v>0</v>
      </c>
      <c r="R46" s="235">
        <f t="shared" si="4"/>
        <v>0</v>
      </c>
      <c r="S46" s="236">
        <v>0.08</v>
      </c>
      <c r="T46" s="235">
        <f t="shared" si="5"/>
        <v>0</v>
      </c>
      <c r="U46" s="235">
        <f t="shared" si="6"/>
        <v>0</v>
      </c>
      <c r="V46" s="235">
        <f t="shared" si="7"/>
        <v>0</v>
      </c>
      <c r="W46" s="237" t="str">
        <f t="shared" si="8"/>
        <v>海天牌老抽酱油(经典版)</v>
      </c>
      <c r="X46" s="238" t="s">
        <v>902</v>
      </c>
      <c r="Y46" s="259">
        <v>10.3</v>
      </c>
      <c r="Z46" s="260">
        <v>7.31</v>
      </c>
      <c r="AA46" s="261">
        <v>0.288</v>
      </c>
      <c r="AB46" s="261">
        <v>0.212</v>
      </c>
      <c r="AC46" s="261">
        <v>0.245</v>
      </c>
      <c r="AD46" s="262">
        <f t="shared" si="9"/>
        <v>0</v>
      </c>
      <c r="AE46" s="262">
        <f t="shared" si="10"/>
        <v>0</v>
      </c>
      <c r="AF46" s="263">
        <f t="shared" si="11"/>
        <v>0</v>
      </c>
      <c r="AG46" s="278" t="s">
        <v>905</v>
      </c>
      <c r="AH46" s="278" t="s">
        <v>956</v>
      </c>
      <c r="AI46" s="244">
        <f t="shared" si="12"/>
        <v>0</v>
      </c>
      <c r="AJ46" s="244">
        <f t="shared" si="13"/>
        <v>0</v>
      </c>
      <c r="AK46" s="244">
        <f t="shared" si="14"/>
        <v>0</v>
      </c>
      <c r="AL46" s="244"/>
      <c r="AM46" s="141"/>
      <c r="AN46" s="22"/>
      <c r="AO46" s="22"/>
      <c r="AP46" s="22"/>
      <c r="AQ46" s="295"/>
      <c r="AR46" s="292"/>
      <c r="AS46" s="296"/>
      <c r="AT46" s="141"/>
      <c r="AU46" s="141"/>
    </row>
    <row r="47" customHeight="1" spans="1:47">
      <c r="A47" s="162" t="str">
        <f t="shared" si="15"/>
        <v/>
      </c>
      <c r="B47" s="165" t="s">
        <v>1077</v>
      </c>
      <c r="C47" s="165" t="str">
        <f>IFERROR(RANK(A47,$A$12:$A$125,0)+COUNTIFS(A$12:A47,A47)-1,"")</f>
        <v/>
      </c>
      <c r="D47" s="166" t="s">
        <v>1078</v>
      </c>
      <c r="E47" s="165" t="s">
        <v>820</v>
      </c>
      <c r="F47" s="167" t="s">
        <v>1077</v>
      </c>
      <c r="G47" s="167" t="s">
        <v>1079</v>
      </c>
      <c r="H47" s="168" t="s">
        <v>1080</v>
      </c>
      <c r="I47" s="203" t="s">
        <v>1081</v>
      </c>
      <c r="J47" s="203" t="s">
        <v>1082</v>
      </c>
      <c r="K47" s="203">
        <v>325300</v>
      </c>
      <c r="L47" s="204"/>
      <c r="M47" s="204"/>
      <c r="N47" s="205">
        <f t="shared" si="0"/>
        <v>0</v>
      </c>
      <c r="O47" s="206" t="e">
        <f t="shared" si="1"/>
        <v>#DIV/0!</v>
      </c>
      <c r="P47" s="207">
        <f t="shared" si="2"/>
        <v>0</v>
      </c>
      <c r="Q47" s="234">
        <f t="shared" si="3"/>
        <v>0</v>
      </c>
      <c r="R47" s="235">
        <f t="shared" si="4"/>
        <v>0</v>
      </c>
      <c r="S47" s="236">
        <v>0.08</v>
      </c>
      <c r="T47" s="235">
        <f t="shared" si="5"/>
        <v>0</v>
      </c>
      <c r="U47" s="235">
        <f t="shared" si="6"/>
        <v>0</v>
      </c>
      <c r="V47" s="235">
        <f t="shared" si="7"/>
        <v>0</v>
      </c>
      <c r="W47" s="237" t="str">
        <f t="shared" si="8"/>
        <v>海天牌蒸鱼豉油</v>
      </c>
      <c r="X47" s="238" t="s">
        <v>1083</v>
      </c>
      <c r="Y47" s="259" t="s">
        <v>1084</v>
      </c>
      <c r="Z47" s="260" t="s">
        <v>1085</v>
      </c>
      <c r="AA47" s="261">
        <v>0.271</v>
      </c>
      <c r="AB47" s="261">
        <v>0.201</v>
      </c>
      <c r="AC47" s="261">
        <v>0.271</v>
      </c>
      <c r="AD47" s="262">
        <f t="shared" si="9"/>
        <v>0</v>
      </c>
      <c r="AE47" s="262">
        <f t="shared" si="10"/>
        <v>0</v>
      </c>
      <c r="AF47" s="263">
        <f t="shared" si="11"/>
        <v>0</v>
      </c>
      <c r="AG47" s="278" t="s">
        <v>1086</v>
      </c>
      <c r="AH47" s="278" t="s">
        <v>1064</v>
      </c>
      <c r="AI47" s="244">
        <f t="shared" si="12"/>
        <v>0</v>
      </c>
      <c r="AJ47" s="244">
        <f t="shared" si="13"/>
        <v>0</v>
      </c>
      <c r="AK47" s="244">
        <f t="shared" si="14"/>
        <v>0</v>
      </c>
      <c r="AL47" s="244"/>
      <c r="AM47" s="141"/>
      <c r="AN47" s="22"/>
      <c r="AO47" s="22" t="s">
        <v>1087</v>
      </c>
      <c r="AP47" s="22" t="s">
        <v>1038</v>
      </c>
      <c r="AQ47" s="295"/>
      <c r="AR47" s="292"/>
      <c r="AS47" s="296"/>
      <c r="AT47" s="141"/>
      <c r="AU47" s="141"/>
    </row>
    <row r="48" customHeight="1" spans="1:47">
      <c r="A48" s="162" t="str">
        <f t="shared" si="15"/>
        <v/>
      </c>
      <c r="B48" s="165"/>
      <c r="C48" s="165" t="str">
        <f>IFERROR(RANK(A48,$A$12:$A$125,0)+COUNTIFS(A$12:A48,A48)-1,"")</f>
        <v/>
      </c>
      <c r="D48" s="166" t="s">
        <v>1088</v>
      </c>
      <c r="E48" s="165" t="s">
        <v>820</v>
      </c>
      <c r="F48" s="167" t="s">
        <v>1077</v>
      </c>
      <c r="G48" s="167" t="s">
        <v>1079</v>
      </c>
      <c r="H48" s="168" t="s">
        <v>1080</v>
      </c>
      <c r="I48" s="203" t="s">
        <v>1089</v>
      </c>
      <c r="J48" s="203" t="s">
        <v>1082</v>
      </c>
      <c r="K48" s="203">
        <v>325300</v>
      </c>
      <c r="L48" s="204"/>
      <c r="M48" s="204"/>
      <c r="N48" s="205">
        <f t="shared" si="0"/>
        <v>0</v>
      </c>
      <c r="O48" s="206" t="e">
        <f t="shared" si="1"/>
        <v>#DIV/0!</v>
      </c>
      <c r="P48" s="207">
        <f t="shared" si="2"/>
        <v>0</v>
      </c>
      <c r="Q48" s="234">
        <f t="shared" si="3"/>
        <v>0</v>
      </c>
      <c r="R48" s="235">
        <f t="shared" si="4"/>
        <v>0</v>
      </c>
      <c r="S48" s="236">
        <v>0.08</v>
      </c>
      <c r="T48" s="235">
        <f t="shared" si="5"/>
        <v>0</v>
      </c>
      <c r="U48" s="235">
        <f t="shared" si="6"/>
        <v>0</v>
      </c>
      <c r="V48" s="235">
        <f t="shared" si="7"/>
        <v>0</v>
      </c>
      <c r="W48" s="237" t="str">
        <f t="shared" si="8"/>
        <v>海天牌蒸鱼豉油</v>
      </c>
      <c r="X48" s="238" t="s">
        <v>1083</v>
      </c>
      <c r="Y48" s="259" t="s">
        <v>1084</v>
      </c>
      <c r="Z48" s="260" t="s">
        <v>1085</v>
      </c>
      <c r="AA48" s="261">
        <v>0.271</v>
      </c>
      <c r="AB48" s="261">
        <v>0.201</v>
      </c>
      <c r="AC48" s="261">
        <v>0.271</v>
      </c>
      <c r="AD48" s="262">
        <f t="shared" si="9"/>
        <v>0</v>
      </c>
      <c r="AE48" s="262">
        <f t="shared" si="10"/>
        <v>0</v>
      </c>
      <c r="AF48" s="263">
        <f t="shared" si="11"/>
        <v>0</v>
      </c>
      <c r="AG48" s="278" t="s">
        <v>1086</v>
      </c>
      <c r="AH48" s="278" t="s">
        <v>1090</v>
      </c>
      <c r="AI48" s="244">
        <f t="shared" si="12"/>
        <v>0</v>
      </c>
      <c r="AJ48" s="244">
        <f t="shared" si="13"/>
        <v>0</v>
      </c>
      <c r="AK48" s="244">
        <f t="shared" si="14"/>
        <v>0</v>
      </c>
      <c r="AL48" s="244"/>
      <c r="AM48" s="141"/>
      <c r="AN48" s="22"/>
      <c r="AO48" s="22"/>
      <c r="AP48" s="22"/>
      <c r="AQ48" s="295"/>
      <c r="AR48" s="292"/>
      <c r="AS48" s="296"/>
      <c r="AT48" s="141"/>
      <c r="AU48" s="141"/>
    </row>
    <row r="49" customHeight="1" spans="1:47">
      <c r="A49" s="162" t="str">
        <f t="shared" si="15"/>
        <v/>
      </c>
      <c r="B49" s="165"/>
      <c r="C49" s="165" t="str">
        <f>IFERROR(RANK(A49,$A$12:$A$125,0)+COUNTIFS(A$12:A49,A49)-1,"")</f>
        <v/>
      </c>
      <c r="D49" s="166" t="s">
        <v>1091</v>
      </c>
      <c r="E49" s="165" t="s">
        <v>820</v>
      </c>
      <c r="F49" s="167" t="s">
        <v>1077</v>
      </c>
      <c r="G49" s="167" t="s">
        <v>1092</v>
      </c>
      <c r="H49" s="168" t="s">
        <v>1093</v>
      </c>
      <c r="I49" s="203" t="s">
        <v>1094</v>
      </c>
      <c r="J49" s="203" t="s">
        <v>1095</v>
      </c>
      <c r="K49" s="203">
        <v>503900</v>
      </c>
      <c r="L49" s="204"/>
      <c r="M49" s="204"/>
      <c r="N49" s="205">
        <f t="shared" si="0"/>
        <v>0</v>
      </c>
      <c r="O49" s="206" t="e">
        <f t="shared" si="1"/>
        <v>#DIV/0!</v>
      </c>
      <c r="P49" s="207">
        <f t="shared" si="2"/>
        <v>0</v>
      </c>
      <c r="Q49" s="234">
        <f t="shared" si="3"/>
        <v>0</v>
      </c>
      <c r="R49" s="235">
        <f t="shared" si="4"/>
        <v>0</v>
      </c>
      <c r="S49" s="236">
        <v>0.08</v>
      </c>
      <c r="T49" s="235">
        <f t="shared" si="5"/>
        <v>0</v>
      </c>
      <c r="U49" s="235">
        <f t="shared" si="6"/>
        <v>0</v>
      </c>
      <c r="V49" s="235">
        <f t="shared" si="7"/>
        <v>0</v>
      </c>
      <c r="W49" s="237" t="str">
        <f t="shared" si="8"/>
        <v>海天牌蒸鱼豉油</v>
      </c>
      <c r="X49" s="238" t="s">
        <v>891</v>
      </c>
      <c r="Y49" s="259" t="s">
        <v>1096</v>
      </c>
      <c r="Z49" s="260" t="s">
        <v>1097</v>
      </c>
      <c r="AA49" s="261">
        <v>0.34</v>
      </c>
      <c r="AB49" s="261">
        <v>0.224</v>
      </c>
      <c r="AC49" s="261">
        <v>0.294</v>
      </c>
      <c r="AD49" s="262">
        <f t="shared" si="9"/>
        <v>0</v>
      </c>
      <c r="AE49" s="262">
        <f t="shared" si="10"/>
        <v>0</v>
      </c>
      <c r="AF49" s="263">
        <f t="shared" si="11"/>
        <v>0</v>
      </c>
      <c r="AG49" s="278" t="s">
        <v>894</v>
      </c>
      <c r="AH49" s="278" t="s">
        <v>1098</v>
      </c>
      <c r="AI49" s="244">
        <f t="shared" si="12"/>
        <v>0</v>
      </c>
      <c r="AJ49" s="244">
        <f t="shared" si="13"/>
        <v>0</v>
      </c>
      <c r="AK49" s="244">
        <f t="shared" si="14"/>
        <v>0</v>
      </c>
      <c r="AL49" s="244"/>
      <c r="AM49" s="141"/>
      <c r="AN49" s="22"/>
      <c r="AO49" s="22"/>
      <c r="AP49" s="22"/>
      <c r="AQ49" s="295"/>
      <c r="AR49" s="292"/>
      <c r="AS49" s="296"/>
      <c r="AT49" s="141"/>
      <c r="AU49" s="141"/>
    </row>
    <row r="50" customHeight="1" spans="1:51">
      <c r="A50" s="162" t="str">
        <f t="shared" si="15"/>
        <v/>
      </c>
      <c r="B50" s="165"/>
      <c r="C50" s="165" t="str">
        <f>IFERROR(RANK(A50,$A$12:$A$125,0)+COUNTIFS(A$12:A50,A50)-1,"")</f>
        <v/>
      </c>
      <c r="D50" s="166" t="s">
        <v>1099</v>
      </c>
      <c r="E50" s="165" t="s">
        <v>820</v>
      </c>
      <c r="F50" s="167" t="s">
        <v>1077</v>
      </c>
      <c r="G50" s="167" t="s">
        <v>1092</v>
      </c>
      <c r="H50" s="168" t="s">
        <v>1093</v>
      </c>
      <c r="I50" s="203" t="s">
        <v>1100</v>
      </c>
      <c r="J50" s="216" t="s">
        <v>1101</v>
      </c>
      <c r="K50" s="203">
        <v>503900</v>
      </c>
      <c r="L50" s="204"/>
      <c r="M50" s="204"/>
      <c r="N50" s="205">
        <f t="shared" si="0"/>
        <v>0</v>
      </c>
      <c r="O50" s="206" t="e">
        <f t="shared" si="1"/>
        <v>#DIV/0!</v>
      </c>
      <c r="P50" s="207">
        <f t="shared" si="2"/>
        <v>0</v>
      </c>
      <c r="Q50" s="234">
        <f t="shared" si="3"/>
        <v>0</v>
      </c>
      <c r="R50" s="235">
        <f t="shared" si="4"/>
        <v>0</v>
      </c>
      <c r="S50" s="236">
        <v>0.08</v>
      </c>
      <c r="T50" s="235">
        <f t="shared" si="5"/>
        <v>0</v>
      </c>
      <c r="U50" s="235">
        <f t="shared" si="6"/>
        <v>0</v>
      </c>
      <c r="V50" s="235">
        <f t="shared" si="7"/>
        <v>0</v>
      </c>
      <c r="W50" s="237" t="str">
        <f t="shared" si="8"/>
        <v>海天牌蒸鱼豉油</v>
      </c>
      <c r="X50" s="238" t="s">
        <v>891</v>
      </c>
      <c r="Y50" s="259" t="s">
        <v>1096</v>
      </c>
      <c r="Z50" s="260" t="s">
        <v>1097</v>
      </c>
      <c r="AA50" s="261">
        <v>0.34</v>
      </c>
      <c r="AB50" s="261">
        <v>0.224</v>
      </c>
      <c r="AC50" s="261">
        <v>0.294</v>
      </c>
      <c r="AD50" s="262">
        <f t="shared" si="9"/>
        <v>0</v>
      </c>
      <c r="AE50" s="262">
        <f t="shared" si="10"/>
        <v>0</v>
      </c>
      <c r="AF50" s="263">
        <f t="shared" si="11"/>
        <v>0</v>
      </c>
      <c r="AG50" s="278" t="s">
        <v>1102</v>
      </c>
      <c r="AH50" s="278" t="s">
        <v>1098</v>
      </c>
      <c r="AI50" s="244">
        <f t="shared" si="12"/>
        <v>0</v>
      </c>
      <c r="AJ50" s="244">
        <f t="shared" si="13"/>
        <v>0</v>
      </c>
      <c r="AK50" s="244">
        <f t="shared" ref="AK50:AK55" si="16">(L50+M50)/AH50</f>
        <v>0</v>
      </c>
      <c r="AL50" s="286" t="s">
        <v>1103</v>
      </c>
      <c r="AM50" s="141"/>
      <c r="AN50" s="22"/>
      <c r="AO50" s="22" t="s">
        <v>1104</v>
      </c>
      <c r="AP50" s="22" t="s">
        <v>993</v>
      </c>
      <c r="AQ50" s="300"/>
      <c r="AR50" s="292"/>
      <c r="AS50" s="296"/>
      <c r="AT50" s="141"/>
      <c r="AU50" s="141"/>
      <c r="AY50" s="305"/>
    </row>
    <row r="51" s="133" customFormat="1" customHeight="1" spans="1:47">
      <c r="A51" s="162" t="str">
        <f t="shared" si="15"/>
        <v/>
      </c>
      <c r="B51" s="178" t="s">
        <v>1105</v>
      </c>
      <c r="C51" s="165" t="str">
        <f>IFERROR(RANK(A51,$A$12:$A$125,0)+COUNTIFS(A$12:A51,A51)-1,"")</f>
        <v/>
      </c>
      <c r="D51" s="173" t="s">
        <v>1106</v>
      </c>
      <c r="E51" s="174" t="s">
        <v>820</v>
      </c>
      <c r="F51" s="175" t="s">
        <v>1105</v>
      </c>
      <c r="G51" s="175" t="s">
        <v>1107</v>
      </c>
      <c r="H51" s="176" t="s">
        <v>1108</v>
      </c>
      <c r="I51" s="203" t="s">
        <v>1109</v>
      </c>
      <c r="J51" s="208" t="s">
        <v>1110</v>
      </c>
      <c r="K51" s="208">
        <v>287900</v>
      </c>
      <c r="L51" s="209"/>
      <c r="M51" s="209"/>
      <c r="N51" s="210">
        <f t="shared" si="0"/>
        <v>0</v>
      </c>
      <c r="O51" s="211" t="e">
        <f t="shared" si="1"/>
        <v>#DIV/0!</v>
      </c>
      <c r="P51" s="212">
        <f t="shared" si="2"/>
        <v>0</v>
      </c>
      <c r="Q51" s="239">
        <f t="shared" si="3"/>
        <v>0</v>
      </c>
      <c r="R51" s="240">
        <f t="shared" si="4"/>
        <v>0</v>
      </c>
      <c r="S51" s="241">
        <v>0.08</v>
      </c>
      <c r="T51" s="240">
        <f t="shared" si="5"/>
        <v>0</v>
      </c>
      <c r="U51" s="240">
        <f t="shared" si="6"/>
        <v>0</v>
      </c>
      <c r="V51" s="240">
        <f t="shared" si="7"/>
        <v>0</v>
      </c>
      <c r="W51" s="242" t="str">
        <f t="shared" si="8"/>
        <v>海天牌海天招牌老抽王</v>
      </c>
      <c r="X51" s="243" t="s">
        <v>902</v>
      </c>
      <c r="Y51" s="264" t="s">
        <v>1026</v>
      </c>
      <c r="Z51" s="265" t="s">
        <v>939</v>
      </c>
      <c r="AA51" s="266">
        <v>0.292</v>
      </c>
      <c r="AB51" s="266">
        <v>0.215</v>
      </c>
      <c r="AC51" s="266">
        <v>0.247</v>
      </c>
      <c r="AD51" s="267">
        <f t="shared" si="9"/>
        <v>0</v>
      </c>
      <c r="AE51" s="267">
        <f t="shared" si="10"/>
        <v>0</v>
      </c>
      <c r="AF51" s="268">
        <f t="shared" si="11"/>
        <v>0</v>
      </c>
      <c r="AG51" s="278" t="s">
        <v>1027</v>
      </c>
      <c r="AH51" s="278" t="s">
        <v>1028</v>
      </c>
      <c r="AI51" s="244">
        <f t="shared" si="12"/>
        <v>0</v>
      </c>
      <c r="AJ51" s="244">
        <f t="shared" si="13"/>
        <v>0</v>
      </c>
      <c r="AK51" s="244">
        <f t="shared" si="16"/>
        <v>0</v>
      </c>
      <c r="AL51" s="279"/>
      <c r="AM51" s="280"/>
      <c r="AN51" s="285" t="s">
        <v>1111</v>
      </c>
      <c r="AO51" s="285" t="s">
        <v>1112</v>
      </c>
      <c r="AP51" s="285" t="s">
        <v>1113</v>
      </c>
      <c r="AQ51" s="301" t="s">
        <v>1114</v>
      </c>
      <c r="AR51" s="285" t="s">
        <v>1115</v>
      </c>
      <c r="AS51" s="299"/>
      <c r="AT51" s="280"/>
      <c r="AU51" s="280"/>
    </row>
    <row r="52" s="133" customFormat="1" customHeight="1" spans="1:47">
      <c r="A52" s="162" t="str">
        <f t="shared" si="15"/>
        <v/>
      </c>
      <c r="B52" s="172"/>
      <c r="C52" s="165" t="str">
        <f>IFERROR(RANK(A52,$A$12:$A$125,0)+COUNTIFS(A$12:A52,A52)-1,"")</f>
        <v/>
      </c>
      <c r="D52" s="173" t="s">
        <v>1116</v>
      </c>
      <c r="E52" s="174" t="s">
        <v>820</v>
      </c>
      <c r="F52" s="175" t="s">
        <v>1105</v>
      </c>
      <c r="G52" s="175" t="s">
        <v>1107</v>
      </c>
      <c r="H52" s="176" t="s">
        <v>1108</v>
      </c>
      <c r="I52" s="203" t="s">
        <v>1117</v>
      </c>
      <c r="J52" s="208" t="s">
        <v>1110</v>
      </c>
      <c r="K52" s="208">
        <v>287900</v>
      </c>
      <c r="L52" s="209"/>
      <c r="M52" s="209"/>
      <c r="N52" s="210">
        <f t="shared" si="0"/>
        <v>0</v>
      </c>
      <c r="O52" s="211" t="e">
        <f t="shared" si="1"/>
        <v>#DIV/0!</v>
      </c>
      <c r="P52" s="212">
        <f t="shared" si="2"/>
        <v>0</v>
      </c>
      <c r="Q52" s="239">
        <f t="shared" si="3"/>
        <v>0</v>
      </c>
      <c r="R52" s="240">
        <f t="shared" si="4"/>
        <v>0</v>
      </c>
      <c r="S52" s="241">
        <v>0.08</v>
      </c>
      <c r="T52" s="240">
        <f t="shared" si="5"/>
        <v>0</v>
      </c>
      <c r="U52" s="240">
        <f t="shared" si="6"/>
        <v>0</v>
      </c>
      <c r="V52" s="240">
        <f t="shared" si="7"/>
        <v>0</v>
      </c>
      <c r="W52" s="242" t="str">
        <f t="shared" si="8"/>
        <v>海天牌海天招牌老抽王</v>
      </c>
      <c r="X52" s="243" t="s">
        <v>902</v>
      </c>
      <c r="Y52" s="264">
        <v>8.6</v>
      </c>
      <c r="Z52" s="265" t="s">
        <v>939</v>
      </c>
      <c r="AA52" s="266">
        <v>0.262</v>
      </c>
      <c r="AB52" s="266">
        <v>0.199</v>
      </c>
      <c r="AC52" s="266">
        <v>0.253</v>
      </c>
      <c r="AD52" s="267">
        <f t="shared" si="9"/>
        <v>0</v>
      </c>
      <c r="AE52" s="267">
        <f t="shared" si="10"/>
        <v>0</v>
      </c>
      <c r="AF52" s="268">
        <f t="shared" si="11"/>
        <v>0</v>
      </c>
      <c r="AG52" s="278" t="s">
        <v>855</v>
      </c>
      <c r="AH52" s="278" t="s">
        <v>1118</v>
      </c>
      <c r="AI52" s="244">
        <f t="shared" si="12"/>
        <v>0</v>
      </c>
      <c r="AJ52" s="244">
        <f t="shared" si="13"/>
        <v>0</v>
      </c>
      <c r="AK52" s="244">
        <f t="shared" si="16"/>
        <v>0</v>
      </c>
      <c r="AL52" s="279"/>
      <c r="AM52" s="280"/>
      <c r="AN52" s="285"/>
      <c r="AO52" s="285"/>
      <c r="AP52" s="285"/>
      <c r="AQ52" s="299"/>
      <c r="AR52" s="285"/>
      <c r="AS52" s="299"/>
      <c r="AT52" s="280"/>
      <c r="AU52" s="280"/>
    </row>
    <row r="53" s="133" customFormat="1" ht="19.5" customHeight="1" spans="1:47">
      <c r="A53" s="162" t="str">
        <f t="shared" si="15"/>
        <v/>
      </c>
      <c r="B53" s="179"/>
      <c r="C53" s="165" t="str">
        <f>IFERROR(RANK(A53,$A$12:$A$125,0)+COUNTIFS(A$12:A53,A53)-1,"")</f>
        <v/>
      </c>
      <c r="D53" s="173" t="s">
        <v>1119</v>
      </c>
      <c r="E53" s="174" t="s">
        <v>820</v>
      </c>
      <c r="F53" s="175" t="s">
        <v>1105</v>
      </c>
      <c r="G53" s="175" t="s">
        <v>1120</v>
      </c>
      <c r="H53" s="176" t="s">
        <v>1121</v>
      </c>
      <c r="I53" s="203" t="s">
        <v>1122</v>
      </c>
      <c r="J53" s="208" t="s">
        <v>1123</v>
      </c>
      <c r="K53" s="208">
        <v>391900</v>
      </c>
      <c r="L53" s="209"/>
      <c r="M53" s="209"/>
      <c r="N53" s="210">
        <f t="shared" si="0"/>
        <v>0</v>
      </c>
      <c r="O53" s="211" t="e">
        <f t="shared" si="1"/>
        <v>#DIV/0!</v>
      </c>
      <c r="P53" s="212">
        <f t="shared" si="2"/>
        <v>0</v>
      </c>
      <c r="Q53" s="239">
        <f t="shared" si="3"/>
        <v>0</v>
      </c>
      <c r="R53" s="240">
        <f t="shared" si="4"/>
        <v>0</v>
      </c>
      <c r="S53" s="241">
        <v>0.08</v>
      </c>
      <c r="T53" s="240">
        <f t="shared" si="5"/>
        <v>0</v>
      </c>
      <c r="U53" s="240">
        <f t="shared" si="6"/>
        <v>0</v>
      </c>
      <c r="V53" s="240">
        <f t="shared" si="7"/>
        <v>0</v>
      </c>
      <c r="W53" s="242" t="str">
        <f t="shared" si="8"/>
        <v>海天牌海天招牌老抽王</v>
      </c>
      <c r="X53" s="243" t="s">
        <v>891</v>
      </c>
      <c r="Y53" s="264" t="s">
        <v>1035</v>
      </c>
      <c r="Z53" s="265" t="s">
        <v>912</v>
      </c>
      <c r="AA53" s="266">
        <v>0.338</v>
      </c>
      <c r="AB53" s="266">
        <v>0.226</v>
      </c>
      <c r="AC53" s="266">
        <v>0.3</v>
      </c>
      <c r="AD53" s="267">
        <f t="shared" si="9"/>
        <v>0</v>
      </c>
      <c r="AE53" s="267">
        <f t="shared" si="10"/>
        <v>0</v>
      </c>
      <c r="AF53" s="268">
        <f t="shared" si="11"/>
        <v>0</v>
      </c>
      <c r="AG53" s="278" t="s">
        <v>914</v>
      </c>
      <c r="AH53" s="278" t="s">
        <v>1036</v>
      </c>
      <c r="AI53" s="244">
        <f t="shared" si="12"/>
        <v>0</v>
      </c>
      <c r="AJ53" s="244">
        <f t="shared" si="13"/>
        <v>0</v>
      </c>
      <c r="AK53" s="244">
        <f t="shared" si="16"/>
        <v>0</v>
      </c>
      <c r="AL53" s="279"/>
      <c r="AM53" s="280"/>
      <c r="AN53" s="285"/>
      <c r="AO53" s="285" t="s">
        <v>1124</v>
      </c>
      <c r="AP53" s="285" t="s">
        <v>1113</v>
      </c>
      <c r="AQ53" s="302"/>
      <c r="AR53" s="285"/>
      <c r="AS53" s="303"/>
      <c r="AT53" s="280"/>
      <c r="AU53" s="280"/>
    </row>
    <row r="54" customHeight="1" spans="1:47">
      <c r="A54" s="162" t="str">
        <f t="shared" si="15"/>
        <v/>
      </c>
      <c r="B54" s="170" t="s">
        <v>1125</v>
      </c>
      <c r="C54" s="165" t="str">
        <f>IFERROR(RANK(A54,$A$12:$A$125,0)+COUNTIFS(A$12:A54,A54)-1,"")</f>
        <v/>
      </c>
      <c r="D54" s="166" t="s">
        <v>1126</v>
      </c>
      <c r="E54" s="165" t="s">
        <v>917</v>
      </c>
      <c r="F54" s="167" t="s">
        <v>1125</v>
      </c>
      <c r="G54" s="167" t="s">
        <v>1127</v>
      </c>
      <c r="H54" s="168" t="s">
        <v>1128</v>
      </c>
      <c r="I54" s="203" t="s">
        <v>1129</v>
      </c>
      <c r="J54" s="203" t="s">
        <v>1130</v>
      </c>
      <c r="K54" s="203">
        <v>205300</v>
      </c>
      <c r="L54" s="204"/>
      <c r="M54" s="204"/>
      <c r="N54" s="205">
        <f t="shared" si="0"/>
        <v>0</v>
      </c>
      <c r="O54" s="206" t="e">
        <f t="shared" si="1"/>
        <v>#DIV/0!</v>
      </c>
      <c r="P54" s="207">
        <f t="shared" si="2"/>
        <v>0</v>
      </c>
      <c r="Q54" s="234">
        <f t="shared" si="3"/>
        <v>0</v>
      </c>
      <c r="R54" s="235">
        <f t="shared" si="4"/>
        <v>0</v>
      </c>
      <c r="S54" s="236">
        <v>0.08</v>
      </c>
      <c r="T54" s="235">
        <f t="shared" si="5"/>
        <v>0</v>
      </c>
      <c r="U54" s="235">
        <f t="shared" si="6"/>
        <v>0</v>
      </c>
      <c r="V54" s="235">
        <f t="shared" si="7"/>
        <v>0</v>
      </c>
      <c r="W54" s="237" t="str">
        <f t="shared" si="8"/>
        <v>海天牌鲜味生抽（经典版）</v>
      </c>
      <c r="X54" s="238" t="s">
        <v>902</v>
      </c>
      <c r="Y54" s="259" t="s">
        <v>1131</v>
      </c>
      <c r="Z54" s="260" t="s">
        <v>1132</v>
      </c>
      <c r="AA54" s="261">
        <v>0.272</v>
      </c>
      <c r="AB54" s="261">
        <v>0.206</v>
      </c>
      <c r="AC54" s="261">
        <v>0.258</v>
      </c>
      <c r="AD54" s="262">
        <f t="shared" si="9"/>
        <v>0</v>
      </c>
      <c r="AE54" s="262">
        <f t="shared" si="10"/>
        <v>0</v>
      </c>
      <c r="AF54" s="263">
        <f t="shared" si="11"/>
        <v>0</v>
      </c>
      <c r="AG54" s="278" t="s">
        <v>905</v>
      </c>
      <c r="AH54" s="278" t="s">
        <v>1133</v>
      </c>
      <c r="AI54" s="244">
        <f t="shared" si="12"/>
        <v>0</v>
      </c>
      <c r="AJ54" s="244">
        <f t="shared" si="13"/>
        <v>0</v>
      </c>
      <c r="AK54" s="244">
        <f t="shared" si="16"/>
        <v>0</v>
      </c>
      <c r="AL54" s="244"/>
      <c r="AM54" s="141"/>
      <c r="AN54" s="141"/>
      <c r="AO54" s="141"/>
      <c r="AP54" s="141"/>
      <c r="AQ54" s="141"/>
      <c r="AR54" s="141"/>
      <c r="AS54" s="141"/>
      <c r="AT54" s="141"/>
      <c r="AU54" s="141"/>
    </row>
    <row r="55" customHeight="1" spans="1:47">
      <c r="A55" s="162" t="str">
        <f t="shared" si="15"/>
        <v/>
      </c>
      <c r="B55" s="171"/>
      <c r="C55" s="165" t="str">
        <f>IFERROR(RANK(A55,$A$12:$A$125,0)+COUNTIFS(A$12:A55,A55)-1,"")</f>
        <v/>
      </c>
      <c r="D55" s="166" t="s">
        <v>1134</v>
      </c>
      <c r="E55" s="165" t="s">
        <v>820</v>
      </c>
      <c r="F55" s="167" t="str">
        <f>F54</f>
        <v>鲜味生抽（经典版）</v>
      </c>
      <c r="G55" s="167" t="s">
        <v>1135</v>
      </c>
      <c r="H55" s="168" t="s">
        <v>1136</v>
      </c>
      <c r="I55" s="203" t="s">
        <v>1137</v>
      </c>
      <c r="J55" s="203" t="s">
        <v>1138</v>
      </c>
      <c r="K55" s="203">
        <v>253300</v>
      </c>
      <c r="L55" s="204"/>
      <c r="M55" s="204"/>
      <c r="N55" s="205">
        <f t="shared" si="0"/>
        <v>0</v>
      </c>
      <c r="O55" s="206" t="e">
        <f t="shared" si="1"/>
        <v>#DIV/0!</v>
      </c>
      <c r="P55" s="207">
        <f t="shared" si="2"/>
        <v>0</v>
      </c>
      <c r="Q55" s="234">
        <f t="shared" si="3"/>
        <v>0</v>
      </c>
      <c r="R55" s="235">
        <f t="shared" si="4"/>
        <v>0</v>
      </c>
      <c r="S55" s="236">
        <v>0.08</v>
      </c>
      <c r="T55" s="235">
        <f t="shared" si="5"/>
        <v>0</v>
      </c>
      <c r="U55" s="235">
        <f t="shared" si="6"/>
        <v>0</v>
      </c>
      <c r="V55" s="235">
        <f t="shared" si="7"/>
        <v>0</v>
      </c>
      <c r="W55" s="237" t="str">
        <f t="shared" si="8"/>
        <v>海天牌鲜味生抽（经典版）</v>
      </c>
      <c r="X55" s="238" t="s">
        <v>1139</v>
      </c>
      <c r="Y55" s="259" t="s">
        <v>1140</v>
      </c>
      <c r="Z55" s="260" t="s">
        <v>1141</v>
      </c>
      <c r="AA55" s="261">
        <v>0.365</v>
      </c>
      <c r="AB55" s="261">
        <v>0.274</v>
      </c>
      <c r="AC55" s="261">
        <v>0.225</v>
      </c>
      <c r="AD55" s="262">
        <f t="shared" si="9"/>
        <v>0</v>
      </c>
      <c r="AE55" s="262">
        <f t="shared" si="10"/>
        <v>0</v>
      </c>
      <c r="AF55" s="263">
        <f t="shared" si="11"/>
        <v>0</v>
      </c>
      <c r="AG55" s="278" t="s">
        <v>894</v>
      </c>
      <c r="AH55" s="278" t="s">
        <v>1142</v>
      </c>
      <c r="AI55" s="244">
        <f t="shared" si="12"/>
        <v>0</v>
      </c>
      <c r="AJ55" s="244">
        <f t="shared" si="13"/>
        <v>0</v>
      </c>
      <c r="AK55" s="244">
        <f t="shared" si="16"/>
        <v>0</v>
      </c>
      <c r="AL55" s="244"/>
      <c r="AM55" s="141"/>
      <c r="AN55" s="141"/>
      <c r="AO55" s="141"/>
      <c r="AP55" s="141"/>
      <c r="AQ55" s="141"/>
      <c r="AR55" s="141"/>
      <c r="AS55" s="141"/>
      <c r="AT55" s="141"/>
      <c r="AU55" s="141"/>
    </row>
    <row r="56" customHeight="1" spans="1:47">
      <c r="A56" s="162" t="str">
        <f t="shared" si="15"/>
        <v/>
      </c>
      <c r="B56" s="169"/>
      <c r="C56" s="165" t="str">
        <f>IFERROR(RANK(A56,$A$12:$A$125,0)+COUNTIFS(A$12:A56,A56)-1,"")</f>
        <v/>
      </c>
      <c r="D56" s="166" t="s">
        <v>1143</v>
      </c>
      <c r="E56" s="165" t="s">
        <v>820</v>
      </c>
      <c r="F56" s="167" t="str">
        <f>F55</f>
        <v>鲜味生抽（经典版）</v>
      </c>
      <c r="G56" s="167" t="s">
        <v>1144</v>
      </c>
      <c r="H56" s="168" t="s">
        <v>1145</v>
      </c>
      <c r="I56" s="203" t="s">
        <v>1146</v>
      </c>
      <c r="J56" s="203" t="s">
        <v>1147</v>
      </c>
      <c r="K56" s="203">
        <v>290600</v>
      </c>
      <c r="L56" s="204"/>
      <c r="M56" s="204"/>
      <c r="N56" s="205">
        <f t="shared" si="0"/>
        <v>0</v>
      </c>
      <c r="O56" s="206" t="e">
        <f t="shared" si="1"/>
        <v>#DIV/0!</v>
      </c>
      <c r="P56" s="207">
        <f t="shared" si="2"/>
        <v>0</v>
      </c>
      <c r="Q56" s="234">
        <f t="shared" si="3"/>
        <v>0</v>
      </c>
      <c r="R56" s="235">
        <f t="shared" si="4"/>
        <v>0</v>
      </c>
      <c r="S56" s="236">
        <v>0.08</v>
      </c>
      <c r="T56" s="235">
        <f t="shared" si="5"/>
        <v>0</v>
      </c>
      <c r="U56" s="235">
        <f t="shared" si="6"/>
        <v>0</v>
      </c>
      <c r="V56" s="235">
        <f t="shared" si="7"/>
        <v>0</v>
      </c>
      <c r="W56" s="237" t="str">
        <f t="shared" si="8"/>
        <v>海天牌鲜味生抽（经典版）</v>
      </c>
      <c r="X56" s="238" t="s">
        <v>836</v>
      </c>
      <c r="Y56" s="259" t="s">
        <v>1148</v>
      </c>
      <c r="Z56" s="260" t="s">
        <v>1149</v>
      </c>
      <c r="AA56" s="261">
        <v>0.351</v>
      </c>
      <c r="AB56" s="261">
        <v>0.238</v>
      </c>
      <c r="AC56" s="261">
        <v>0.303</v>
      </c>
      <c r="AD56" s="262">
        <f t="shared" si="9"/>
        <v>0</v>
      </c>
      <c r="AE56" s="262">
        <f t="shared" si="10"/>
        <v>0</v>
      </c>
      <c r="AF56" s="263">
        <f t="shared" si="11"/>
        <v>0</v>
      </c>
      <c r="AG56" s="278" t="s">
        <v>839</v>
      </c>
      <c r="AH56" s="278" t="s">
        <v>1150</v>
      </c>
      <c r="AI56" s="244">
        <f t="shared" si="12"/>
        <v>0</v>
      </c>
      <c r="AJ56" s="244">
        <f t="shared" si="13"/>
        <v>0</v>
      </c>
      <c r="AK56" s="244">
        <f t="shared" ref="AK53:AK118" si="17">(L56+M56)/AH56</f>
        <v>0</v>
      </c>
      <c r="AL56" s="244"/>
      <c r="AM56" s="141"/>
      <c r="AN56" s="141"/>
      <c r="AO56" s="141"/>
      <c r="AP56" s="141"/>
      <c r="AQ56" s="141"/>
      <c r="AR56" s="141"/>
      <c r="AS56" s="141"/>
      <c r="AT56" s="141"/>
      <c r="AU56" s="141"/>
    </row>
    <row r="57" customHeight="1" spans="1:47">
      <c r="A57" s="162" t="str">
        <f t="shared" si="15"/>
        <v/>
      </c>
      <c r="B57" s="170" t="s">
        <v>1151</v>
      </c>
      <c r="C57" s="165" t="str">
        <f>IFERROR(RANK(A57,$A$12:$A$125,0)+COUNTIFS(A$12:A57,A57)-1,"")</f>
        <v/>
      </c>
      <c r="D57" s="166" t="s">
        <v>1152</v>
      </c>
      <c r="E57" s="165" t="s">
        <v>917</v>
      </c>
      <c r="F57" s="167" t="s">
        <v>1151</v>
      </c>
      <c r="G57" s="167" t="s">
        <v>1153</v>
      </c>
      <c r="H57" s="168" t="s">
        <v>1154</v>
      </c>
      <c r="I57" s="203" t="s">
        <v>1155</v>
      </c>
      <c r="J57" s="203" t="s">
        <v>1156</v>
      </c>
      <c r="K57" s="213">
        <v>280000</v>
      </c>
      <c r="L57" s="204"/>
      <c r="M57" s="204"/>
      <c r="N57" s="204">
        <f t="shared" si="0"/>
        <v>0</v>
      </c>
      <c r="O57" s="206" t="e">
        <f t="shared" si="1"/>
        <v>#DIV/0!</v>
      </c>
      <c r="P57" s="207">
        <f t="shared" si="2"/>
        <v>0</v>
      </c>
      <c r="Q57" s="234">
        <f t="shared" si="3"/>
        <v>0</v>
      </c>
      <c r="R57" s="235">
        <f t="shared" si="4"/>
        <v>0</v>
      </c>
      <c r="S57" s="236">
        <v>0.08</v>
      </c>
      <c r="T57" s="235">
        <f t="shared" si="5"/>
        <v>0</v>
      </c>
      <c r="U57" s="235">
        <f t="shared" si="6"/>
        <v>0</v>
      </c>
      <c r="V57" s="235">
        <f t="shared" si="7"/>
        <v>0</v>
      </c>
      <c r="W57" s="237" t="str">
        <f t="shared" si="8"/>
        <v>海天牌海天上等蚝油（经典版）</v>
      </c>
      <c r="X57" s="238" t="s">
        <v>1157</v>
      </c>
      <c r="Y57" s="259" t="s">
        <v>1158</v>
      </c>
      <c r="Z57" s="260" t="s">
        <v>1159</v>
      </c>
      <c r="AA57" s="261">
        <v>0.472</v>
      </c>
      <c r="AB57" s="261">
        <v>0.36</v>
      </c>
      <c r="AC57" s="261">
        <v>0.12</v>
      </c>
      <c r="AD57" s="262">
        <f t="shared" si="9"/>
        <v>0</v>
      </c>
      <c r="AE57" s="262">
        <f t="shared" si="10"/>
        <v>0</v>
      </c>
      <c r="AF57" s="263">
        <f t="shared" si="11"/>
        <v>0</v>
      </c>
      <c r="AG57" s="278" t="s">
        <v>1160</v>
      </c>
      <c r="AH57" s="278" t="s">
        <v>1161</v>
      </c>
      <c r="AI57" s="244">
        <f t="shared" si="12"/>
        <v>0</v>
      </c>
      <c r="AJ57" s="244">
        <f t="shared" si="13"/>
        <v>0</v>
      </c>
      <c r="AK57" s="244">
        <f t="shared" si="17"/>
        <v>0</v>
      </c>
      <c r="AL57" s="287"/>
      <c r="AM57" s="141"/>
      <c r="AN57" s="141"/>
      <c r="AO57" s="141"/>
      <c r="AP57" s="141"/>
      <c r="AQ57" s="141"/>
      <c r="AR57" s="141"/>
      <c r="AS57" s="141"/>
      <c r="AT57" s="141"/>
      <c r="AU57" s="141"/>
    </row>
    <row r="58" customHeight="1" spans="1:47">
      <c r="A58" s="162" t="str">
        <f t="shared" si="15"/>
        <v/>
      </c>
      <c r="B58" s="171"/>
      <c r="C58" s="165" t="str">
        <f>IFERROR(RANK(A58,$A$12:$A$125,0)+COUNTIFS(A$12:A58,A58)-1,"")</f>
        <v/>
      </c>
      <c r="D58" s="166" t="s">
        <v>1162</v>
      </c>
      <c r="E58" s="165" t="s">
        <v>917</v>
      </c>
      <c r="F58" s="167" t="s">
        <v>1151</v>
      </c>
      <c r="G58" s="167" t="s">
        <v>1163</v>
      </c>
      <c r="H58" s="168" t="s">
        <v>1164</v>
      </c>
      <c r="I58" s="203" t="s">
        <v>1165</v>
      </c>
      <c r="J58" s="203" t="s">
        <v>1166</v>
      </c>
      <c r="K58" s="203">
        <v>240700</v>
      </c>
      <c r="L58" s="204"/>
      <c r="M58" s="204"/>
      <c r="N58" s="204">
        <f t="shared" si="0"/>
        <v>0</v>
      </c>
      <c r="O58" s="206" t="e">
        <f t="shared" si="1"/>
        <v>#DIV/0!</v>
      </c>
      <c r="P58" s="207">
        <f t="shared" si="2"/>
        <v>0</v>
      </c>
      <c r="Q58" s="234">
        <f t="shared" si="3"/>
        <v>0</v>
      </c>
      <c r="R58" s="235">
        <f t="shared" si="4"/>
        <v>0</v>
      </c>
      <c r="S58" s="236">
        <v>0.08</v>
      </c>
      <c r="T58" s="235">
        <f t="shared" si="5"/>
        <v>0</v>
      </c>
      <c r="U58" s="235">
        <f t="shared" si="6"/>
        <v>0</v>
      </c>
      <c r="V58" s="235">
        <f t="shared" si="7"/>
        <v>0</v>
      </c>
      <c r="W58" s="237" t="str">
        <f t="shared" si="8"/>
        <v>海天牌海天上等蚝油（经典版）</v>
      </c>
      <c r="X58" s="238" t="s">
        <v>1167</v>
      </c>
      <c r="Y58" s="259" t="s">
        <v>903</v>
      </c>
      <c r="Z58" s="260" t="s">
        <v>1168</v>
      </c>
      <c r="AA58" s="261">
        <v>0.34</v>
      </c>
      <c r="AB58" s="261">
        <v>0.227</v>
      </c>
      <c r="AC58" s="261">
        <v>0.192</v>
      </c>
      <c r="AD58" s="262">
        <f t="shared" si="9"/>
        <v>0</v>
      </c>
      <c r="AE58" s="262">
        <f t="shared" si="10"/>
        <v>0</v>
      </c>
      <c r="AF58" s="263">
        <f t="shared" si="11"/>
        <v>0</v>
      </c>
      <c r="AG58" s="278" t="s">
        <v>1006</v>
      </c>
      <c r="AH58" s="278" t="s">
        <v>906</v>
      </c>
      <c r="AI58" s="244">
        <f t="shared" si="12"/>
        <v>0</v>
      </c>
      <c r="AJ58" s="244">
        <f t="shared" si="13"/>
        <v>0</v>
      </c>
      <c r="AK58" s="244">
        <f t="shared" si="17"/>
        <v>0</v>
      </c>
      <c r="AL58" s="247"/>
      <c r="AM58" s="141"/>
      <c r="AN58" s="141"/>
      <c r="AO58" s="141"/>
      <c r="AP58" s="141"/>
      <c r="AQ58" s="141"/>
      <c r="AR58" s="141"/>
      <c r="AS58" s="141"/>
      <c r="AT58" s="141"/>
      <c r="AU58" s="141"/>
    </row>
    <row r="59" customHeight="1" spans="1:47">
      <c r="A59" s="162" t="str">
        <f t="shared" si="15"/>
        <v/>
      </c>
      <c r="B59" s="171"/>
      <c r="C59" s="165" t="str">
        <f>IFERROR(RANK(A59,$A$12:$A$125,0)+COUNTIFS(A$12:A59,A59)-1,"")</f>
        <v/>
      </c>
      <c r="D59" s="166" t="s">
        <v>1169</v>
      </c>
      <c r="E59" s="165" t="s">
        <v>917</v>
      </c>
      <c r="F59" s="167" t="s">
        <v>1151</v>
      </c>
      <c r="G59" s="167" t="s">
        <v>1163</v>
      </c>
      <c r="H59" s="168" t="s">
        <v>1164</v>
      </c>
      <c r="I59" s="203" t="s">
        <v>1170</v>
      </c>
      <c r="J59" s="203" t="s">
        <v>1171</v>
      </c>
      <c r="K59" s="203">
        <v>240700</v>
      </c>
      <c r="L59" s="204"/>
      <c r="M59" s="204"/>
      <c r="N59" s="204">
        <f t="shared" si="0"/>
        <v>0</v>
      </c>
      <c r="O59" s="206" t="e">
        <f t="shared" si="1"/>
        <v>#DIV/0!</v>
      </c>
      <c r="P59" s="207">
        <f t="shared" si="2"/>
        <v>0</v>
      </c>
      <c r="Q59" s="234">
        <f t="shared" si="3"/>
        <v>0</v>
      </c>
      <c r="R59" s="235">
        <f t="shared" si="4"/>
        <v>0</v>
      </c>
      <c r="S59" s="236">
        <v>0.08</v>
      </c>
      <c r="T59" s="235">
        <f t="shared" si="5"/>
        <v>0</v>
      </c>
      <c r="U59" s="235">
        <f t="shared" si="6"/>
        <v>0</v>
      </c>
      <c r="V59" s="235">
        <f t="shared" si="7"/>
        <v>0</v>
      </c>
      <c r="W59" s="237" t="str">
        <f t="shared" si="8"/>
        <v>海天牌海天上等蚝油（经典版）</v>
      </c>
      <c r="X59" s="238" t="s">
        <v>1167</v>
      </c>
      <c r="Y59" s="259" t="s">
        <v>903</v>
      </c>
      <c r="Z59" s="260" t="s">
        <v>1168</v>
      </c>
      <c r="AA59" s="261">
        <v>0.34</v>
      </c>
      <c r="AB59" s="261">
        <v>0.227</v>
      </c>
      <c r="AC59" s="261">
        <v>0.192</v>
      </c>
      <c r="AD59" s="262">
        <f t="shared" si="9"/>
        <v>0</v>
      </c>
      <c r="AE59" s="262">
        <f t="shared" si="10"/>
        <v>0</v>
      </c>
      <c r="AF59" s="263">
        <f t="shared" si="11"/>
        <v>0</v>
      </c>
      <c r="AG59" s="278" t="s">
        <v>1006</v>
      </c>
      <c r="AH59" s="278" t="s">
        <v>906</v>
      </c>
      <c r="AI59" s="244">
        <f t="shared" si="12"/>
        <v>0</v>
      </c>
      <c r="AJ59" s="244">
        <f t="shared" si="13"/>
        <v>0</v>
      </c>
      <c r="AK59" s="244">
        <f t="shared" si="17"/>
        <v>0</v>
      </c>
      <c r="AL59" s="247"/>
      <c r="AM59" s="141"/>
      <c r="AN59" s="141"/>
      <c r="AO59" s="141"/>
      <c r="AP59" s="141"/>
      <c r="AQ59" s="141"/>
      <c r="AR59" s="141"/>
      <c r="AS59" s="141"/>
      <c r="AT59" s="141"/>
      <c r="AU59" s="141"/>
    </row>
    <row r="60" customHeight="1" spans="1:47">
      <c r="A60" s="162" t="str">
        <f t="shared" si="15"/>
        <v/>
      </c>
      <c r="B60" s="171"/>
      <c r="C60" s="165" t="str">
        <f>IFERROR(RANK(A60,$A$12:$A$125,0)+COUNTIFS(A$12:A60,A60)-1,"")</f>
        <v/>
      </c>
      <c r="D60" s="166" t="s">
        <v>1172</v>
      </c>
      <c r="E60" s="165" t="s">
        <v>820</v>
      </c>
      <c r="F60" s="167" t="s">
        <v>1151</v>
      </c>
      <c r="G60" s="167" t="s">
        <v>1163</v>
      </c>
      <c r="H60" s="168" t="s">
        <v>1164</v>
      </c>
      <c r="I60" s="203" t="s">
        <v>1173</v>
      </c>
      <c r="J60" s="203" t="s">
        <v>1166</v>
      </c>
      <c r="K60" s="203">
        <v>240700</v>
      </c>
      <c r="L60" s="204"/>
      <c r="M60" s="204"/>
      <c r="N60" s="204">
        <f t="shared" si="0"/>
        <v>0</v>
      </c>
      <c r="O60" s="206" t="e">
        <f t="shared" si="1"/>
        <v>#DIV/0!</v>
      </c>
      <c r="P60" s="207">
        <f t="shared" si="2"/>
        <v>0</v>
      </c>
      <c r="Q60" s="234">
        <f t="shared" si="3"/>
        <v>0</v>
      </c>
      <c r="R60" s="235">
        <f t="shared" si="4"/>
        <v>0</v>
      </c>
      <c r="S60" s="236">
        <v>0.08</v>
      </c>
      <c r="T60" s="235">
        <f t="shared" si="5"/>
        <v>0</v>
      </c>
      <c r="U60" s="235">
        <f t="shared" si="6"/>
        <v>0</v>
      </c>
      <c r="V60" s="235">
        <f t="shared" si="7"/>
        <v>0</v>
      </c>
      <c r="W60" s="237" t="str">
        <f t="shared" si="8"/>
        <v>海天牌海天上等蚝油（经典版）</v>
      </c>
      <c r="X60" s="238" t="s">
        <v>1167</v>
      </c>
      <c r="Y60" s="259" t="s">
        <v>903</v>
      </c>
      <c r="Z60" s="260" t="s">
        <v>1168</v>
      </c>
      <c r="AA60" s="261">
        <v>0.34</v>
      </c>
      <c r="AB60" s="261">
        <v>0.227</v>
      </c>
      <c r="AC60" s="261">
        <v>0.192</v>
      </c>
      <c r="AD60" s="262">
        <f t="shared" si="9"/>
        <v>0</v>
      </c>
      <c r="AE60" s="262">
        <f t="shared" si="10"/>
        <v>0</v>
      </c>
      <c r="AF60" s="263">
        <f t="shared" si="11"/>
        <v>0</v>
      </c>
      <c r="AG60" s="278" t="s">
        <v>1006</v>
      </c>
      <c r="AH60" s="278" t="s">
        <v>906</v>
      </c>
      <c r="AI60" s="244">
        <f t="shared" si="12"/>
        <v>0</v>
      </c>
      <c r="AJ60" s="244">
        <f t="shared" si="13"/>
        <v>0</v>
      </c>
      <c r="AK60" s="244">
        <f t="shared" si="17"/>
        <v>0</v>
      </c>
      <c r="AL60" s="247"/>
      <c r="AM60" s="141"/>
      <c r="AN60" s="141"/>
      <c r="AO60" s="141"/>
      <c r="AP60" s="141"/>
      <c r="AQ60" s="141"/>
      <c r="AR60" s="141"/>
      <c r="AS60" s="141"/>
      <c r="AT60" s="141"/>
      <c r="AU60" s="141"/>
    </row>
    <row r="61" customHeight="1" spans="1:51">
      <c r="A61" s="162" t="str">
        <f t="shared" si="15"/>
        <v/>
      </c>
      <c r="B61" s="171"/>
      <c r="C61" s="165" t="str">
        <f>IFERROR(RANK(A61,$A$12:$A$125,0)+COUNTIFS(A$12:A61,A61)-1,"")</f>
        <v/>
      </c>
      <c r="D61" s="166" t="s">
        <v>1174</v>
      </c>
      <c r="E61" s="165" t="s">
        <v>820</v>
      </c>
      <c r="F61" s="167" t="s">
        <v>1151</v>
      </c>
      <c r="G61" s="167" t="s">
        <v>1163</v>
      </c>
      <c r="H61" s="168" t="s">
        <v>1164</v>
      </c>
      <c r="I61" s="203" t="s">
        <v>1175</v>
      </c>
      <c r="J61" s="203" t="s">
        <v>1166</v>
      </c>
      <c r="K61" s="203">
        <v>240700</v>
      </c>
      <c r="L61" s="204"/>
      <c r="M61" s="204"/>
      <c r="N61" s="204">
        <f t="shared" si="0"/>
        <v>0</v>
      </c>
      <c r="O61" s="206" t="e">
        <f t="shared" si="1"/>
        <v>#DIV/0!</v>
      </c>
      <c r="P61" s="207">
        <f t="shared" si="2"/>
        <v>0</v>
      </c>
      <c r="Q61" s="234">
        <f t="shared" si="3"/>
        <v>0</v>
      </c>
      <c r="R61" s="235">
        <f t="shared" si="4"/>
        <v>0</v>
      </c>
      <c r="S61" s="236">
        <v>0.08</v>
      </c>
      <c r="T61" s="235">
        <f t="shared" si="5"/>
        <v>0</v>
      </c>
      <c r="U61" s="235">
        <f t="shared" si="6"/>
        <v>0</v>
      </c>
      <c r="V61" s="235">
        <f t="shared" si="7"/>
        <v>0</v>
      </c>
      <c r="W61" s="237" t="str">
        <f t="shared" si="8"/>
        <v>海天牌海天上等蚝油（经典版）</v>
      </c>
      <c r="X61" s="238" t="s">
        <v>1167</v>
      </c>
      <c r="Y61" s="259" t="s">
        <v>903</v>
      </c>
      <c r="Z61" s="260" t="s">
        <v>1168</v>
      </c>
      <c r="AA61" s="261">
        <v>0.34</v>
      </c>
      <c r="AB61" s="261">
        <v>0.227</v>
      </c>
      <c r="AC61" s="261">
        <v>0.192</v>
      </c>
      <c r="AD61" s="262">
        <f t="shared" si="9"/>
        <v>0</v>
      </c>
      <c r="AE61" s="262">
        <f t="shared" si="10"/>
        <v>0</v>
      </c>
      <c r="AF61" s="263">
        <f t="shared" si="11"/>
        <v>0</v>
      </c>
      <c r="AG61" s="278" t="s">
        <v>1006</v>
      </c>
      <c r="AH61" s="278" t="s">
        <v>906</v>
      </c>
      <c r="AI61" s="244">
        <f t="shared" si="12"/>
        <v>0</v>
      </c>
      <c r="AJ61" s="244">
        <f t="shared" si="13"/>
        <v>0</v>
      </c>
      <c r="AK61" s="244">
        <f t="shared" si="17"/>
        <v>0</v>
      </c>
      <c r="AL61" s="247"/>
      <c r="AM61" s="141"/>
      <c r="AN61" s="141"/>
      <c r="AO61" s="141"/>
      <c r="AP61" s="141"/>
      <c r="AQ61" s="141"/>
      <c r="AR61" s="141"/>
      <c r="AS61" s="141"/>
      <c r="AT61" s="141"/>
      <c r="AU61" s="141"/>
      <c r="AY61" s="305"/>
    </row>
    <row r="62" customHeight="1" spans="1:47">
      <c r="A62" s="162" t="str">
        <f t="shared" si="15"/>
        <v/>
      </c>
      <c r="B62" s="171"/>
      <c r="C62" s="165" t="str">
        <f>IFERROR(RANK(A62,$A$12:$A$125,0)+COUNTIFS(A$12:A62,A62)-1,"")</f>
        <v/>
      </c>
      <c r="D62" s="166" t="s">
        <v>1176</v>
      </c>
      <c r="E62" s="165" t="s">
        <v>917</v>
      </c>
      <c r="F62" s="167" t="s">
        <v>1151</v>
      </c>
      <c r="G62" s="167" t="s">
        <v>1177</v>
      </c>
      <c r="H62" s="168" t="s">
        <v>1178</v>
      </c>
      <c r="I62" s="203" t="s">
        <v>1179</v>
      </c>
      <c r="J62" s="203" t="s">
        <v>1180</v>
      </c>
      <c r="K62" s="203">
        <v>206500</v>
      </c>
      <c r="L62" s="204"/>
      <c r="M62" s="204"/>
      <c r="N62" s="204">
        <f t="shared" si="0"/>
        <v>0</v>
      </c>
      <c r="O62" s="206" t="e">
        <f t="shared" si="1"/>
        <v>#DIV/0!</v>
      </c>
      <c r="P62" s="207">
        <f t="shared" si="2"/>
        <v>0</v>
      </c>
      <c r="Q62" s="234">
        <f t="shared" si="3"/>
        <v>0</v>
      </c>
      <c r="R62" s="235">
        <f t="shared" si="4"/>
        <v>0</v>
      </c>
      <c r="S62" s="236">
        <v>0.08</v>
      </c>
      <c r="T62" s="235">
        <f t="shared" si="5"/>
        <v>0</v>
      </c>
      <c r="U62" s="235">
        <f t="shared" si="6"/>
        <v>0</v>
      </c>
      <c r="V62" s="235">
        <f t="shared" si="7"/>
        <v>0</v>
      </c>
      <c r="W62" s="237" t="str">
        <f t="shared" si="8"/>
        <v>海天牌海天上等蚝油（经典版）</v>
      </c>
      <c r="X62" s="238" t="s">
        <v>1181</v>
      </c>
      <c r="Y62" s="259" t="s">
        <v>1182</v>
      </c>
      <c r="Z62" s="260" t="s">
        <v>1183</v>
      </c>
      <c r="AA62" s="261">
        <v>0.252</v>
      </c>
      <c r="AB62" s="261">
        <v>0.18</v>
      </c>
      <c r="AC62" s="261">
        <v>0.23</v>
      </c>
      <c r="AD62" s="262">
        <f t="shared" si="9"/>
        <v>0</v>
      </c>
      <c r="AE62" s="262">
        <f t="shared" si="10"/>
        <v>0</v>
      </c>
      <c r="AF62" s="263">
        <f t="shared" si="11"/>
        <v>0</v>
      </c>
      <c r="AG62" s="278" t="s">
        <v>1184</v>
      </c>
      <c r="AH62" s="278" t="s">
        <v>1185</v>
      </c>
      <c r="AI62" s="244">
        <f t="shared" si="12"/>
        <v>0</v>
      </c>
      <c r="AJ62" s="244">
        <f t="shared" si="13"/>
        <v>0</v>
      </c>
      <c r="AK62" s="244">
        <f t="shared" si="17"/>
        <v>0</v>
      </c>
      <c r="AL62" s="286"/>
      <c r="AM62" s="141"/>
      <c r="AN62" s="141"/>
      <c r="AO62" s="141"/>
      <c r="AP62" s="141"/>
      <c r="AQ62" s="141"/>
      <c r="AR62" s="141"/>
      <c r="AS62" s="141"/>
      <c r="AT62" s="141"/>
      <c r="AU62" s="141"/>
    </row>
    <row r="63" customHeight="1" spans="1:47">
      <c r="A63" s="162" t="str">
        <f t="shared" si="15"/>
        <v/>
      </c>
      <c r="B63" s="171"/>
      <c r="C63" s="165" t="str">
        <f>IFERROR(RANK(A63,$A$12:$A$125,0)+COUNTIFS(A$12:A63,A63)-1,"")</f>
        <v/>
      </c>
      <c r="D63" s="166" t="s">
        <v>1186</v>
      </c>
      <c r="E63" s="165" t="s">
        <v>917</v>
      </c>
      <c r="F63" s="167" t="s">
        <v>1151</v>
      </c>
      <c r="G63" s="167" t="s">
        <v>1177</v>
      </c>
      <c r="H63" s="168" t="s">
        <v>1178</v>
      </c>
      <c r="I63" s="203" t="s">
        <v>1187</v>
      </c>
      <c r="J63" s="216" t="s">
        <v>1101</v>
      </c>
      <c r="K63" s="203">
        <v>206500</v>
      </c>
      <c r="L63" s="204"/>
      <c r="M63" s="204"/>
      <c r="N63" s="204">
        <f t="shared" si="0"/>
        <v>0</v>
      </c>
      <c r="O63" s="206" t="e">
        <f t="shared" si="1"/>
        <v>#DIV/0!</v>
      </c>
      <c r="P63" s="207">
        <f t="shared" si="2"/>
        <v>0</v>
      </c>
      <c r="Q63" s="234">
        <f t="shared" si="3"/>
        <v>0</v>
      </c>
      <c r="R63" s="235">
        <f t="shared" si="4"/>
        <v>0</v>
      </c>
      <c r="S63" s="236">
        <v>0.08</v>
      </c>
      <c r="T63" s="235">
        <f t="shared" si="5"/>
        <v>0</v>
      </c>
      <c r="U63" s="235">
        <f t="shared" si="6"/>
        <v>0</v>
      </c>
      <c r="V63" s="235">
        <f t="shared" si="7"/>
        <v>0</v>
      </c>
      <c r="W63" s="237" t="str">
        <f t="shared" si="8"/>
        <v>海天牌海天上等蚝油（经典版）</v>
      </c>
      <c r="X63" s="238" t="s">
        <v>1181</v>
      </c>
      <c r="Y63" s="259" t="s">
        <v>1182</v>
      </c>
      <c r="Z63" s="260" t="s">
        <v>1183</v>
      </c>
      <c r="AA63" s="261">
        <v>0.252</v>
      </c>
      <c r="AB63" s="261">
        <v>0.18</v>
      </c>
      <c r="AC63" s="261">
        <v>0.23</v>
      </c>
      <c r="AD63" s="262">
        <f t="shared" si="9"/>
        <v>0</v>
      </c>
      <c r="AE63" s="262">
        <f t="shared" si="10"/>
        <v>0</v>
      </c>
      <c r="AF63" s="263">
        <f t="shared" si="11"/>
        <v>0</v>
      </c>
      <c r="AG63" s="278" t="s">
        <v>1188</v>
      </c>
      <c r="AH63" s="278" t="s">
        <v>1185</v>
      </c>
      <c r="AI63" s="244">
        <f t="shared" si="12"/>
        <v>0</v>
      </c>
      <c r="AJ63" s="244">
        <f t="shared" si="13"/>
        <v>0</v>
      </c>
      <c r="AK63" s="244">
        <f t="shared" si="17"/>
        <v>0</v>
      </c>
      <c r="AL63" s="286"/>
      <c r="AM63" s="141"/>
      <c r="AN63" s="141"/>
      <c r="AO63" s="141"/>
      <c r="AP63" s="141"/>
      <c r="AQ63" s="141"/>
      <c r="AR63" s="141"/>
      <c r="AS63" s="141"/>
      <c r="AT63" s="141"/>
      <c r="AU63" s="141"/>
    </row>
    <row r="64" customHeight="1" spans="1:47">
      <c r="A64" s="162" t="str">
        <f t="shared" si="15"/>
        <v/>
      </c>
      <c r="B64" s="171"/>
      <c r="C64" s="165" t="str">
        <f>IFERROR(RANK(A64,$A$12:$A$125,0)+COUNTIFS(A$12:A64,A64)-1,"")</f>
        <v/>
      </c>
      <c r="D64" s="166" t="s">
        <v>1189</v>
      </c>
      <c r="E64" s="165" t="s">
        <v>820</v>
      </c>
      <c r="F64" s="167" t="s">
        <v>1151</v>
      </c>
      <c r="G64" s="167" t="s">
        <v>1177</v>
      </c>
      <c r="H64" s="168" t="s">
        <v>1178</v>
      </c>
      <c r="I64" s="203" t="s">
        <v>1190</v>
      </c>
      <c r="J64" s="203" t="s">
        <v>1191</v>
      </c>
      <c r="K64" s="203">
        <v>206500</v>
      </c>
      <c r="L64" s="204"/>
      <c r="M64" s="204"/>
      <c r="N64" s="204">
        <f t="shared" si="0"/>
        <v>0</v>
      </c>
      <c r="O64" s="206" t="e">
        <f t="shared" si="1"/>
        <v>#DIV/0!</v>
      </c>
      <c r="P64" s="207">
        <f t="shared" si="2"/>
        <v>0</v>
      </c>
      <c r="Q64" s="234">
        <f t="shared" si="3"/>
        <v>0</v>
      </c>
      <c r="R64" s="235">
        <f t="shared" si="4"/>
        <v>0</v>
      </c>
      <c r="S64" s="236">
        <v>0.08</v>
      </c>
      <c r="T64" s="235">
        <f t="shared" si="5"/>
        <v>0</v>
      </c>
      <c r="U64" s="235">
        <f t="shared" si="6"/>
        <v>0</v>
      </c>
      <c r="V64" s="235">
        <f t="shared" si="7"/>
        <v>0</v>
      </c>
      <c r="W64" s="237" t="str">
        <f t="shared" si="8"/>
        <v>海天牌海天上等蚝油（经典版）</v>
      </c>
      <c r="X64" s="238" t="s">
        <v>1181</v>
      </c>
      <c r="Y64" s="259" t="s">
        <v>1182</v>
      </c>
      <c r="Z64" s="260" t="s">
        <v>1183</v>
      </c>
      <c r="AA64" s="261">
        <v>0.252</v>
      </c>
      <c r="AB64" s="261">
        <v>0.18</v>
      </c>
      <c r="AC64" s="261">
        <v>0.23</v>
      </c>
      <c r="AD64" s="262">
        <f t="shared" si="9"/>
        <v>0</v>
      </c>
      <c r="AE64" s="262">
        <f t="shared" si="10"/>
        <v>0</v>
      </c>
      <c r="AF64" s="263">
        <f t="shared" si="11"/>
        <v>0</v>
      </c>
      <c r="AG64" s="278" t="s">
        <v>1184</v>
      </c>
      <c r="AH64" s="278" t="s">
        <v>1185</v>
      </c>
      <c r="AI64" s="244">
        <f t="shared" si="12"/>
        <v>0</v>
      </c>
      <c r="AJ64" s="244">
        <f t="shared" si="13"/>
        <v>0</v>
      </c>
      <c r="AK64" s="244">
        <f t="shared" si="17"/>
        <v>0</v>
      </c>
      <c r="AL64" s="286"/>
      <c r="AM64" s="141"/>
      <c r="AN64" s="141"/>
      <c r="AO64" s="141"/>
      <c r="AP64" s="141"/>
      <c r="AQ64" s="141"/>
      <c r="AR64" s="141"/>
      <c r="AS64" s="141"/>
      <c r="AT64" s="141"/>
      <c r="AU64" s="141"/>
    </row>
    <row r="65" customHeight="1" spans="1:47">
      <c r="A65" s="162" t="str">
        <f t="shared" si="15"/>
        <v/>
      </c>
      <c r="B65" s="171"/>
      <c r="C65" s="165" t="str">
        <f>IFERROR(RANK(A65,$A$12:$A$125,0)+COUNTIFS(A$12:A65,A65)-1,"")</f>
        <v/>
      </c>
      <c r="D65" s="166" t="s">
        <v>1192</v>
      </c>
      <c r="E65" s="165" t="s">
        <v>917</v>
      </c>
      <c r="F65" s="167" t="s">
        <v>1151</v>
      </c>
      <c r="G65" s="167" t="s">
        <v>1193</v>
      </c>
      <c r="H65" s="168" t="s">
        <v>1194</v>
      </c>
      <c r="I65" s="203" t="s">
        <v>1195</v>
      </c>
      <c r="J65" s="203" t="s">
        <v>1196</v>
      </c>
      <c r="K65" s="203">
        <v>245600</v>
      </c>
      <c r="L65" s="204"/>
      <c r="M65" s="204"/>
      <c r="N65" s="204">
        <f t="shared" si="0"/>
        <v>0</v>
      </c>
      <c r="O65" s="206" t="e">
        <f t="shared" si="1"/>
        <v>#DIV/0!</v>
      </c>
      <c r="P65" s="207">
        <f t="shared" si="2"/>
        <v>0</v>
      </c>
      <c r="Q65" s="234">
        <f t="shared" si="3"/>
        <v>0</v>
      </c>
      <c r="R65" s="235">
        <f t="shared" si="4"/>
        <v>0</v>
      </c>
      <c r="S65" s="236">
        <v>0.08</v>
      </c>
      <c r="T65" s="235">
        <f t="shared" si="5"/>
        <v>0</v>
      </c>
      <c r="U65" s="235">
        <f t="shared" si="6"/>
        <v>0</v>
      </c>
      <c r="V65" s="235">
        <f t="shared" si="7"/>
        <v>0</v>
      </c>
      <c r="W65" s="237" t="str">
        <f t="shared" si="8"/>
        <v>海天牌海天上等蚝油（经典版）</v>
      </c>
      <c r="X65" s="238" t="s">
        <v>1197</v>
      </c>
      <c r="Y65" s="259" t="s">
        <v>1198</v>
      </c>
      <c r="Z65" s="260" t="s">
        <v>1199</v>
      </c>
      <c r="AA65" s="261">
        <v>0.301</v>
      </c>
      <c r="AB65" s="261">
        <v>0.226</v>
      </c>
      <c r="AC65" s="261">
        <v>0.2775</v>
      </c>
      <c r="AD65" s="262">
        <f t="shared" si="9"/>
        <v>0</v>
      </c>
      <c r="AE65" s="262">
        <f t="shared" si="10"/>
        <v>0</v>
      </c>
      <c r="AF65" s="263">
        <f t="shared" si="11"/>
        <v>0</v>
      </c>
      <c r="AG65" s="278" t="s">
        <v>1200</v>
      </c>
      <c r="AH65" s="278" t="s">
        <v>1201</v>
      </c>
      <c r="AI65" s="244">
        <f t="shared" si="12"/>
        <v>0</v>
      </c>
      <c r="AJ65" s="244">
        <f t="shared" si="13"/>
        <v>0</v>
      </c>
      <c r="AK65" s="244">
        <f t="shared" si="17"/>
        <v>0</v>
      </c>
      <c r="AL65" s="286" t="s">
        <v>1202</v>
      </c>
      <c r="AM65" s="141"/>
      <c r="AN65" s="141"/>
      <c r="AO65" s="141"/>
      <c r="AP65" s="141"/>
      <c r="AQ65" s="141"/>
      <c r="AR65" s="141"/>
      <c r="AS65" s="141"/>
      <c r="AT65" s="141"/>
      <c r="AU65" s="141"/>
    </row>
    <row r="66" customHeight="1" spans="1:47">
      <c r="A66" s="162" t="str">
        <f t="shared" si="15"/>
        <v/>
      </c>
      <c r="B66" s="171"/>
      <c r="C66" s="165" t="str">
        <f>IFERROR(RANK(A66,$A$12:$A$125,0)+COUNTIFS(A$12:A66,A66)-1,"")</f>
        <v/>
      </c>
      <c r="D66" s="166" t="s">
        <v>1203</v>
      </c>
      <c r="E66" s="165" t="s">
        <v>917</v>
      </c>
      <c r="F66" s="167" t="s">
        <v>1151</v>
      </c>
      <c r="G66" s="167" t="s">
        <v>1193</v>
      </c>
      <c r="H66" s="168" t="s">
        <v>1194</v>
      </c>
      <c r="I66" s="203" t="s">
        <v>1204</v>
      </c>
      <c r="J66" s="203" t="s">
        <v>1205</v>
      </c>
      <c r="K66" s="203">
        <v>245600</v>
      </c>
      <c r="L66" s="204"/>
      <c r="M66" s="204"/>
      <c r="N66" s="204">
        <f t="shared" si="0"/>
        <v>0</v>
      </c>
      <c r="O66" s="206" t="e">
        <f t="shared" si="1"/>
        <v>#DIV/0!</v>
      </c>
      <c r="P66" s="207">
        <f t="shared" si="2"/>
        <v>0</v>
      </c>
      <c r="Q66" s="234">
        <f t="shared" si="3"/>
        <v>0</v>
      </c>
      <c r="R66" s="235">
        <f t="shared" si="4"/>
        <v>0</v>
      </c>
      <c r="S66" s="236">
        <v>0.08</v>
      </c>
      <c r="T66" s="235">
        <f t="shared" si="5"/>
        <v>0</v>
      </c>
      <c r="U66" s="235">
        <f t="shared" si="6"/>
        <v>0</v>
      </c>
      <c r="V66" s="235">
        <f t="shared" si="7"/>
        <v>0</v>
      </c>
      <c r="W66" s="237" t="str">
        <f t="shared" si="8"/>
        <v>海天牌海天上等蚝油（经典版）</v>
      </c>
      <c r="X66" s="238" t="s">
        <v>1197</v>
      </c>
      <c r="Y66" s="259" t="s">
        <v>1198</v>
      </c>
      <c r="Z66" s="260" t="s">
        <v>1199</v>
      </c>
      <c r="AA66" s="261">
        <v>0.298</v>
      </c>
      <c r="AB66" s="261">
        <v>0.224</v>
      </c>
      <c r="AC66" s="261">
        <v>0.2775</v>
      </c>
      <c r="AD66" s="262">
        <f t="shared" si="9"/>
        <v>0</v>
      </c>
      <c r="AE66" s="262">
        <f t="shared" si="10"/>
        <v>0</v>
      </c>
      <c r="AF66" s="263">
        <f t="shared" si="11"/>
        <v>0</v>
      </c>
      <c r="AG66" s="278" t="s">
        <v>1206</v>
      </c>
      <c r="AH66" s="278" t="s">
        <v>1201</v>
      </c>
      <c r="AI66" s="244">
        <f t="shared" si="12"/>
        <v>0</v>
      </c>
      <c r="AJ66" s="244">
        <f t="shared" si="13"/>
        <v>0</v>
      </c>
      <c r="AK66" s="244">
        <f t="shared" si="17"/>
        <v>0</v>
      </c>
      <c r="AL66" s="286"/>
      <c r="AM66" s="141"/>
      <c r="AN66" s="141"/>
      <c r="AO66" s="141"/>
      <c r="AP66" s="141"/>
      <c r="AQ66" s="141"/>
      <c r="AR66" s="141"/>
      <c r="AS66" s="141"/>
      <c r="AT66" s="141"/>
      <c r="AU66" s="141"/>
    </row>
    <row r="67" s="133" customFormat="1" customHeight="1" spans="1:47">
      <c r="A67" s="162" t="str">
        <f t="shared" si="15"/>
        <v/>
      </c>
      <c r="B67" s="172"/>
      <c r="C67" s="165" t="str">
        <f>IFERROR(RANK(A67,$A$12:$A$125,0)+COUNTIFS(A$12:A67,A67)-1,"")</f>
        <v/>
      </c>
      <c r="D67" s="173" t="s">
        <v>1207</v>
      </c>
      <c r="E67" s="174" t="s">
        <v>820</v>
      </c>
      <c r="F67" s="175" t="s">
        <v>1151</v>
      </c>
      <c r="G67" s="175" t="s">
        <v>1193</v>
      </c>
      <c r="H67" s="176" t="s">
        <v>1194</v>
      </c>
      <c r="I67" s="203" t="s">
        <v>1208</v>
      </c>
      <c r="J67" s="208" t="s">
        <v>1196</v>
      </c>
      <c r="K67" s="208">
        <v>245600</v>
      </c>
      <c r="L67" s="209"/>
      <c r="M67" s="209"/>
      <c r="N67" s="209">
        <f t="shared" si="0"/>
        <v>0</v>
      </c>
      <c r="O67" s="211" t="e">
        <f t="shared" si="1"/>
        <v>#DIV/0!</v>
      </c>
      <c r="P67" s="212">
        <f t="shared" si="2"/>
        <v>0</v>
      </c>
      <c r="Q67" s="239">
        <f t="shared" si="3"/>
        <v>0</v>
      </c>
      <c r="R67" s="240">
        <f t="shared" si="4"/>
        <v>0</v>
      </c>
      <c r="S67" s="241">
        <v>0.08</v>
      </c>
      <c r="T67" s="240">
        <f t="shared" si="5"/>
        <v>0</v>
      </c>
      <c r="U67" s="240">
        <f t="shared" si="6"/>
        <v>0</v>
      </c>
      <c r="V67" s="240">
        <f t="shared" si="7"/>
        <v>0</v>
      </c>
      <c r="W67" s="242" t="str">
        <f t="shared" si="8"/>
        <v>海天牌海天上等蚝油（经典版）</v>
      </c>
      <c r="X67" s="243" t="s">
        <v>1197</v>
      </c>
      <c r="Y67" s="264" t="s">
        <v>1198</v>
      </c>
      <c r="Z67" s="265" t="s">
        <v>1199</v>
      </c>
      <c r="AA67" s="266">
        <v>0.301</v>
      </c>
      <c r="AB67" s="266">
        <v>0.226</v>
      </c>
      <c r="AC67" s="266">
        <v>0.2775</v>
      </c>
      <c r="AD67" s="267">
        <f t="shared" si="9"/>
        <v>0</v>
      </c>
      <c r="AE67" s="267">
        <f t="shared" si="10"/>
        <v>0</v>
      </c>
      <c r="AF67" s="268">
        <f t="shared" si="11"/>
        <v>0</v>
      </c>
      <c r="AG67" s="278" t="s">
        <v>1200</v>
      </c>
      <c r="AH67" s="278" t="s">
        <v>1201</v>
      </c>
      <c r="AI67" s="244">
        <f t="shared" si="12"/>
        <v>0</v>
      </c>
      <c r="AJ67" s="244">
        <f t="shared" si="13"/>
        <v>0</v>
      </c>
      <c r="AK67" s="244">
        <f t="shared" si="17"/>
        <v>0</v>
      </c>
      <c r="AL67" s="327"/>
      <c r="AM67" s="280"/>
      <c r="AN67" s="280"/>
      <c r="AO67" s="280"/>
      <c r="AP67" s="280"/>
      <c r="AQ67" s="280"/>
      <c r="AR67" s="280"/>
      <c r="AS67" s="280"/>
      <c r="AT67" s="280"/>
      <c r="AU67" s="280"/>
    </row>
    <row r="68" customHeight="1" spans="1:51">
      <c r="A68" s="162" t="str">
        <f t="shared" si="15"/>
        <v/>
      </c>
      <c r="B68" s="171"/>
      <c r="C68" s="165" t="str">
        <f>IFERROR(RANK(A68,$A$12:$A$125,0)+COUNTIFS(A$12:A68,A68)-1,"")</f>
        <v/>
      </c>
      <c r="D68" s="166" t="s">
        <v>1209</v>
      </c>
      <c r="E68" s="165" t="s">
        <v>820</v>
      </c>
      <c r="F68" s="167" t="s">
        <v>1151</v>
      </c>
      <c r="G68" s="167" t="s">
        <v>1193</v>
      </c>
      <c r="H68" s="168" t="s">
        <v>1194</v>
      </c>
      <c r="I68" s="203" t="s">
        <v>1210</v>
      </c>
      <c r="J68" s="203" t="s">
        <v>1196</v>
      </c>
      <c r="K68" s="203">
        <v>245600</v>
      </c>
      <c r="L68" s="204"/>
      <c r="M68" s="204"/>
      <c r="N68" s="209">
        <f t="shared" si="0"/>
        <v>0</v>
      </c>
      <c r="O68" s="206" t="e">
        <f t="shared" si="1"/>
        <v>#DIV/0!</v>
      </c>
      <c r="P68" s="207">
        <f t="shared" si="2"/>
        <v>0</v>
      </c>
      <c r="Q68" s="234">
        <f t="shared" si="3"/>
        <v>0</v>
      </c>
      <c r="R68" s="235">
        <f t="shared" si="4"/>
        <v>0</v>
      </c>
      <c r="S68" s="236">
        <v>0.08</v>
      </c>
      <c r="T68" s="235">
        <f t="shared" si="5"/>
        <v>0</v>
      </c>
      <c r="U68" s="235">
        <f t="shared" si="6"/>
        <v>0</v>
      </c>
      <c r="V68" s="235">
        <f t="shared" si="7"/>
        <v>0</v>
      </c>
      <c r="W68" s="237" t="str">
        <f t="shared" si="8"/>
        <v>海天牌海天上等蚝油（经典版）</v>
      </c>
      <c r="X68" s="238" t="s">
        <v>1197</v>
      </c>
      <c r="Y68" s="259" t="s">
        <v>1198</v>
      </c>
      <c r="Z68" s="260" t="s">
        <v>1199</v>
      </c>
      <c r="AA68" s="261">
        <v>0.301</v>
      </c>
      <c r="AB68" s="261">
        <v>0.226</v>
      </c>
      <c r="AC68" s="261">
        <v>0.2775</v>
      </c>
      <c r="AD68" s="262">
        <f t="shared" si="9"/>
        <v>0</v>
      </c>
      <c r="AE68" s="262">
        <f t="shared" si="10"/>
        <v>0</v>
      </c>
      <c r="AF68" s="263">
        <f t="shared" si="11"/>
        <v>0</v>
      </c>
      <c r="AG68" s="278" t="s">
        <v>1200</v>
      </c>
      <c r="AH68" s="278" t="s">
        <v>1201</v>
      </c>
      <c r="AI68" s="244">
        <f t="shared" si="12"/>
        <v>0</v>
      </c>
      <c r="AJ68" s="244">
        <f t="shared" si="13"/>
        <v>0</v>
      </c>
      <c r="AK68" s="244">
        <f t="shared" si="17"/>
        <v>0</v>
      </c>
      <c r="AL68" s="286"/>
      <c r="AM68" s="141"/>
      <c r="AN68" s="141"/>
      <c r="AO68" s="141"/>
      <c r="AP68" s="141"/>
      <c r="AQ68" s="141"/>
      <c r="AR68" s="141"/>
      <c r="AS68" s="141"/>
      <c r="AT68" s="141"/>
      <c r="AU68" s="141"/>
      <c r="AY68" s="305"/>
    </row>
    <row r="69" customHeight="1" spans="1:47">
      <c r="A69" s="162" t="str">
        <f t="shared" si="15"/>
        <v/>
      </c>
      <c r="B69" s="171"/>
      <c r="C69" s="165" t="str">
        <f>IFERROR(RANK(A69,$A$12:$A$125,0)+COUNTIFS(A$12:A69,A69)-1,"")</f>
        <v/>
      </c>
      <c r="D69" s="166" t="s">
        <v>1211</v>
      </c>
      <c r="E69" s="165" t="s">
        <v>917</v>
      </c>
      <c r="F69" s="167" t="s">
        <v>1151</v>
      </c>
      <c r="G69" s="167" t="s">
        <v>1212</v>
      </c>
      <c r="H69" s="168" t="s">
        <v>1213</v>
      </c>
      <c r="I69" s="203" t="s">
        <v>1214</v>
      </c>
      <c r="J69" s="203" t="s">
        <v>1215</v>
      </c>
      <c r="K69" s="203">
        <v>301400</v>
      </c>
      <c r="L69" s="204"/>
      <c r="M69" s="204"/>
      <c r="N69" s="209">
        <f t="shared" si="0"/>
        <v>0</v>
      </c>
      <c r="O69" s="206" t="e">
        <f t="shared" si="1"/>
        <v>#DIV/0!</v>
      </c>
      <c r="P69" s="207">
        <f t="shared" si="2"/>
        <v>0</v>
      </c>
      <c r="Q69" s="234">
        <f t="shared" si="3"/>
        <v>0</v>
      </c>
      <c r="R69" s="235">
        <f t="shared" si="4"/>
        <v>0</v>
      </c>
      <c r="S69" s="236">
        <v>0.08</v>
      </c>
      <c r="T69" s="235">
        <f t="shared" si="5"/>
        <v>0</v>
      </c>
      <c r="U69" s="235">
        <f t="shared" si="6"/>
        <v>0</v>
      </c>
      <c r="V69" s="235">
        <f t="shared" si="7"/>
        <v>0</v>
      </c>
      <c r="W69" s="237" t="str">
        <f t="shared" si="8"/>
        <v>海天牌海天上等蚝油（经典版）</v>
      </c>
      <c r="X69" s="238" t="s">
        <v>1216</v>
      </c>
      <c r="Y69" s="259" t="s">
        <v>1084</v>
      </c>
      <c r="Z69" s="260" t="s">
        <v>1217</v>
      </c>
      <c r="AA69" s="261">
        <v>0.305</v>
      </c>
      <c r="AB69" s="261">
        <v>0.219</v>
      </c>
      <c r="AC69" s="261">
        <v>0.25</v>
      </c>
      <c r="AD69" s="262">
        <f t="shared" si="9"/>
        <v>0</v>
      </c>
      <c r="AE69" s="262">
        <f t="shared" si="10"/>
        <v>0</v>
      </c>
      <c r="AF69" s="263">
        <f t="shared" si="11"/>
        <v>0</v>
      </c>
      <c r="AG69" s="278" t="s">
        <v>1218</v>
      </c>
      <c r="AH69" s="278" t="s">
        <v>1064</v>
      </c>
      <c r="AI69" s="244">
        <f t="shared" si="12"/>
        <v>0</v>
      </c>
      <c r="AJ69" s="244">
        <f t="shared" si="13"/>
        <v>0</v>
      </c>
      <c r="AK69" s="244">
        <f t="shared" si="17"/>
        <v>0</v>
      </c>
      <c r="AL69" s="286"/>
      <c r="AM69" s="141"/>
      <c r="AN69" s="141"/>
      <c r="AO69" s="141"/>
      <c r="AP69" s="141"/>
      <c r="AQ69" s="141"/>
      <c r="AR69" s="141"/>
      <c r="AS69" s="141"/>
      <c r="AT69" s="141"/>
      <c r="AU69" s="141"/>
    </row>
    <row r="70" customHeight="1" spans="1:47">
      <c r="A70" s="162" t="str">
        <f t="shared" si="15"/>
        <v/>
      </c>
      <c r="B70" s="171"/>
      <c r="C70" s="165" t="str">
        <f>IFERROR(RANK(A70,$A$12:$A$125,0)+COUNTIFS(A$12:A70,A70)-1,"")</f>
        <v/>
      </c>
      <c r="D70" s="166" t="s">
        <v>1219</v>
      </c>
      <c r="E70" s="165" t="s">
        <v>917</v>
      </c>
      <c r="F70" s="167" t="s">
        <v>1151</v>
      </c>
      <c r="G70" s="167" t="s">
        <v>1212</v>
      </c>
      <c r="H70" s="168" t="s">
        <v>1213</v>
      </c>
      <c r="I70" s="203" t="s">
        <v>1220</v>
      </c>
      <c r="J70" s="203" t="s">
        <v>1221</v>
      </c>
      <c r="K70" s="203">
        <v>301400</v>
      </c>
      <c r="L70" s="204"/>
      <c r="M70" s="204"/>
      <c r="N70" s="209">
        <f t="shared" si="0"/>
        <v>0</v>
      </c>
      <c r="O70" s="206" t="e">
        <f t="shared" si="1"/>
        <v>#DIV/0!</v>
      </c>
      <c r="P70" s="207">
        <f t="shared" si="2"/>
        <v>0</v>
      </c>
      <c r="Q70" s="234">
        <f t="shared" si="3"/>
        <v>0</v>
      </c>
      <c r="R70" s="235">
        <f t="shared" si="4"/>
        <v>0</v>
      </c>
      <c r="S70" s="236">
        <v>0.08</v>
      </c>
      <c r="T70" s="235">
        <f t="shared" si="5"/>
        <v>0</v>
      </c>
      <c r="U70" s="235">
        <f t="shared" si="6"/>
        <v>0</v>
      </c>
      <c r="V70" s="235">
        <f t="shared" si="7"/>
        <v>0</v>
      </c>
      <c r="W70" s="237" t="str">
        <f t="shared" si="8"/>
        <v>海天牌海天上等蚝油（经典版）</v>
      </c>
      <c r="X70" s="238" t="s">
        <v>1216</v>
      </c>
      <c r="Y70" s="259" t="s">
        <v>1084</v>
      </c>
      <c r="Z70" s="260" t="s">
        <v>1217</v>
      </c>
      <c r="AA70" s="261">
        <v>0.305</v>
      </c>
      <c r="AB70" s="261">
        <v>0.219</v>
      </c>
      <c r="AC70" s="261">
        <v>0.25</v>
      </c>
      <c r="AD70" s="262">
        <f t="shared" si="9"/>
        <v>0</v>
      </c>
      <c r="AE70" s="262">
        <f t="shared" si="10"/>
        <v>0</v>
      </c>
      <c r="AF70" s="263">
        <f t="shared" si="11"/>
        <v>0</v>
      </c>
      <c r="AG70" s="278" t="s">
        <v>1218</v>
      </c>
      <c r="AH70" s="278" t="s">
        <v>1064</v>
      </c>
      <c r="AI70" s="244">
        <f t="shared" si="12"/>
        <v>0</v>
      </c>
      <c r="AJ70" s="244">
        <f t="shared" si="13"/>
        <v>0</v>
      </c>
      <c r="AK70" s="244">
        <f t="shared" si="17"/>
        <v>0</v>
      </c>
      <c r="AL70" s="286"/>
      <c r="AM70" s="141"/>
      <c r="AN70" s="141"/>
      <c r="AO70" s="141"/>
      <c r="AP70" s="141"/>
      <c r="AQ70" s="141"/>
      <c r="AR70" s="141"/>
      <c r="AS70" s="141"/>
      <c r="AT70" s="141"/>
      <c r="AU70" s="141"/>
    </row>
    <row r="71" customHeight="1" spans="1:47">
      <c r="A71" s="162" t="str">
        <f t="shared" si="15"/>
        <v/>
      </c>
      <c r="B71" s="171"/>
      <c r="C71" s="165" t="str">
        <f>IFERROR(RANK(A71,$A$12:$A$125,0)+COUNTIFS(A$12:A71,A71)-1,"")</f>
        <v/>
      </c>
      <c r="D71" s="166" t="s">
        <v>1222</v>
      </c>
      <c r="E71" s="165" t="s">
        <v>917</v>
      </c>
      <c r="F71" s="167" t="s">
        <v>1151</v>
      </c>
      <c r="G71" s="167" t="s">
        <v>1223</v>
      </c>
      <c r="H71" s="168" t="s">
        <v>1224</v>
      </c>
      <c r="I71" s="203" t="s">
        <v>1225</v>
      </c>
      <c r="J71" s="203" t="s">
        <v>1226</v>
      </c>
      <c r="K71" s="203">
        <v>240000</v>
      </c>
      <c r="L71" s="204"/>
      <c r="M71" s="204"/>
      <c r="N71" s="209">
        <f t="shared" si="0"/>
        <v>0</v>
      </c>
      <c r="O71" s="206" t="e">
        <f t="shared" si="1"/>
        <v>#DIV/0!</v>
      </c>
      <c r="P71" s="207">
        <f t="shared" si="2"/>
        <v>0</v>
      </c>
      <c r="Q71" s="234">
        <f t="shared" si="3"/>
        <v>0</v>
      </c>
      <c r="R71" s="235">
        <f t="shared" si="4"/>
        <v>0</v>
      </c>
      <c r="S71" s="236">
        <v>0.08</v>
      </c>
      <c r="T71" s="235">
        <f t="shared" si="5"/>
        <v>0</v>
      </c>
      <c r="U71" s="235">
        <f t="shared" si="6"/>
        <v>0</v>
      </c>
      <c r="V71" s="235">
        <f t="shared" si="7"/>
        <v>0</v>
      </c>
      <c r="W71" s="237" t="str">
        <f t="shared" si="8"/>
        <v>海天牌海天上等蚝油（经典版）</v>
      </c>
      <c r="X71" s="238" t="s">
        <v>1227</v>
      </c>
      <c r="Y71" s="259" t="s">
        <v>1084</v>
      </c>
      <c r="Z71" s="260" t="s">
        <v>1228</v>
      </c>
      <c r="AA71" s="261">
        <v>0.306</v>
      </c>
      <c r="AB71" s="261">
        <v>0.188</v>
      </c>
      <c r="AC71" s="261">
        <v>0.283</v>
      </c>
      <c r="AD71" s="262">
        <f t="shared" si="9"/>
        <v>0</v>
      </c>
      <c r="AE71" s="262">
        <f t="shared" si="10"/>
        <v>0</v>
      </c>
      <c r="AF71" s="263">
        <f t="shared" si="11"/>
        <v>0</v>
      </c>
      <c r="AG71" s="278" t="s">
        <v>1229</v>
      </c>
      <c r="AH71" s="278" t="s">
        <v>1064</v>
      </c>
      <c r="AI71" s="244">
        <f t="shared" si="12"/>
        <v>0</v>
      </c>
      <c r="AJ71" s="244">
        <f t="shared" si="13"/>
        <v>0</v>
      </c>
      <c r="AK71" s="244">
        <f t="shared" si="17"/>
        <v>0</v>
      </c>
      <c r="AL71" s="286" t="s">
        <v>1230</v>
      </c>
      <c r="AM71" s="141"/>
      <c r="AN71" s="141"/>
      <c r="AO71" s="141"/>
      <c r="AP71" s="141"/>
      <c r="AQ71" s="141"/>
      <c r="AR71" s="141"/>
      <c r="AS71" s="141"/>
      <c r="AT71" s="141"/>
      <c r="AU71" s="141"/>
    </row>
    <row r="72" customHeight="1" spans="1:47">
      <c r="A72" s="162" t="str">
        <f t="shared" si="15"/>
        <v/>
      </c>
      <c r="B72" s="171"/>
      <c r="C72" s="165" t="str">
        <f>IFERROR(RANK(A72,$A$12:$A$125,0)+COUNTIFS(A$12:A72,A72)-1,"")</f>
        <v/>
      </c>
      <c r="D72" s="166" t="s">
        <v>1231</v>
      </c>
      <c r="E72" s="165" t="s">
        <v>917</v>
      </c>
      <c r="F72" s="167" t="s">
        <v>1151</v>
      </c>
      <c r="G72" s="167" t="s">
        <v>1223</v>
      </c>
      <c r="H72" s="168" t="s">
        <v>1224</v>
      </c>
      <c r="I72" s="203" t="s">
        <v>1232</v>
      </c>
      <c r="J72" s="203" t="s">
        <v>1233</v>
      </c>
      <c r="K72" s="203">
        <v>240000</v>
      </c>
      <c r="L72" s="204"/>
      <c r="M72" s="204"/>
      <c r="N72" s="209">
        <f t="shared" si="0"/>
        <v>0</v>
      </c>
      <c r="O72" s="206" t="e">
        <f t="shared" si="1"/>
        <v>#DIV/0!</v>
      </c>
      <c r="P72" s="207">
        <f t="shared" si="2"/>
        <v>0</v>
      </c>
      <c r="Q72" s="234">
        <f t="shared" si="3"/>
        <v>0</v>
      </c>
      <c r="R72" s="235">
        <f t="shared" si="4"/>
        <v>0</v>
      </c>
      <c r="S72" s="236">
        <v>0.08</v>
      </c>
      <c r="T72" s="235">
        <f t="shared" si="5"/>
        <v>0</v>
      </c>
      <c r="U72" s="235">
        <f t="shared" si="6"/>
        <v>0</v>
      </c>
      <c r="V72" s="235">
        <f t="shared" si="7"/>
        <v>0</v>
      </c>
      <c r="W72" s="237" t="str">
        <f t="shared" si="8"/>
        <v>海天牌海天上等蚝油（经典版）</v>
      </c>
      <c r="X72" s="238" t="s">
        <v>1227</v>
      </c>
      <c r="Y72" s="259" t="s">
        <v>1084</v>
      </c>
      <c r="Z72" s="260" t="s">
        <v>1228</v>
      </c>
      <c r="AA72" s="261">
        <v>0.306</v>
      </c>
      <c r="AB72" s="261">
        <v>0.188</v>
      </c>
      <c r="AC72" s="261">
        <v>0.283</v>
      </c>
      <c r="AD72" s="262">
        <f t="shared" si="9"/>
        <v>0</v>
      </c>
      <c r="AE72" s="262">
        <f t="shared" si="10"/>
        <v>0</v>
      </c>
      <c r="AF72" s="263">
        <f t="shared" si="11"/>
        <v>0</v>
      </c>
      <c r="AG72" s="278" t="s">
        <v>1229</v>
      </c>
      <c r="AH72" s="278" t="s">
        <v>1064</v>
      </c>
      <c r="AI72" s="244">
        <f t="shared" si="12"/>
        <v>0</v>
      </c>
      <c r="AJ72" s="244">
        <f t="shared" si="13"/>
        <v>0</v>
      </c>
      <c r="AK72" s="244">
        <f t="shared" si="17"/>
        <v>0</v>
      </c>
      <c r="AL72" s="286"/>
      <c r="AM72" s="141"/>
      <c r="AN72" s="141"/>
      <c r="AO72" s="141"/>
      <c r="AP72" s="141"/>
      <c r="AQ72" s="141"/>
      <c r="AR72" s="141"/>
      <c r="AS72" s="141"/>
      <c r="AT72" s="141"/>
      <c r="AU72" s="141"/>
    </row>
    <row r="73" customHeight="1" spans="1:51">
      <c r="A73" s="162" t="str">
        <f t="shared" si="15"/>
        <v/>
      </c>
      <c r="B73" s="171"/>
      <c r="C73" s="165" t="str">
        <f>IFERROR(RANK(A73,$A$12:$A$125,0)+COUNTIFS(A$12:A73,A73)-1,"")</f>
        <v/>
      </c>
      <c r="D73" s="166" t="s">
        <v>1234</v>
      </c>
      <c r="E73" s="165" t="s">
        <v>820</v>
      </c>
      <c r="F73" s="167" t="s">
        <v>1151</v>
      </c>
      <c r="G73" s="167" t="s">
        <v>1223</v>
      </c>
      <c r="H73" s="168" t="s">
        <v>1224</v>
      </c>
      <c r="I73" s="203" t="s">
        <v>1235</v>
      </c>
      <c r="J73" s="203" t="s">
        <v>1226</v>
      </c>
      <c r="K73" s="203">
        <v>240000</v>
      </c>
      <c r="L73" s="204"/>
      <c r="M73" s="204"/>
      <c r="N73" s="209">
        <f t="shared" si="0"/>
        <v>0</v>
      </c>
      <c r="O73" s="206" t="e">
        <f t="shared" si="1"/>
        <v>#DIV/0!</v>
      </c>
      <c r="P73" s="207">
        <f t="shared" si="2"/>
        <v>0</v>
      </c>
      <c r="Q73" s="234">
        <f t="shared" si="3"/>
        <v>0</v>
      </c>
      <c r="R73" s="235">
        <f t="shared" si="4"/>
        <v>0</v>
      </c>
      <c r="S73" s="236">
        <v>0.08</v>
      </c>
      <c r="T73" s="235">
        <f t="shared" si="5"/>
        <v>0</v>
      </c>
      <c r="U73" s="235">
        <f t="shared" si="6"/>
        <v>0</v>
      </c>
      <c r="V73" s="235">
        <f t="shared" si="7"/>
        <v>0</v>
      </c>
      <c r="W73" s="237" t="str">
        <f t="shared" si="8"/>
        <v>海天牌海天上等蚝油（经典版）</v>
      </c>
      <c r="X73" s="238" t="s">
        <v>1227</v>
      </c>
      <c r="Y73" s="259" t="s">
        <v>1084</v>
      </c>
      <c r="Z73" s="260" t="s">
        <v>1228</v>
      </c>
      <c r="AA73" s="261">
        <v>0.306</v>
      </c>
      <c r="AB73" s="261">
        <v>0.188</v>
      </c>
      <c r="AC73" s="261">
        <v>0.283</v>
      </c>
      <c r="AD73" s="262">
        <f t="shared" si="9"/>
        <v>0</v>
      </c>
      <c r="AE73" s="262">
        <f t="shared" si="10"/>
        <v>0</v>
      </c>
      <c r="AF73" s="263">
        <f t="shared" si="11"/>
        <v>0</v>
      </c>
      <c r="AG73" s="278" t="s">
        <v>1229</v>
      </c>
      <c r="AH73" s="278" t="s">
        <v>1064</v>
      </c>
      <c r="AI73" s="244">
        <f t="shared" si="12"/>
        <v>0</v>
      </c>
      <c r="AJ73" s="244">
        <f t="shared" si="13"/>
        <v>0</v>
      </c>
      <c r="AK73" s="244">
        <f t="shared" si="17"/>
        <v>0</v>
      </c>
      <c r="AL73" s="286"/>
      <c r="AM73" s="141"/>
      <c r="AN73" s="141"/>
      <c r="AO73" s="141"/>
      <c r="AP73" s="141"/>
      <c r="AQ73" s="141"/>
      <c r="AR73" s="141"/>
      <c r="AS73" s="141"/>
      <c r="AT73" s="141"/>
      <c r="AU73" s="141"/>
      <c r="AY73" s="305"/>
    </row>
    <row r="74" customHeight="1" spans="1:51">
      <c r="A74" s="162" t="str">
        <f t="shared" si="15"/>
        <v/>
      </c>
      <c r="B74" s="171"/>
      <c r="C74" s="165" t="str">
        <f>IFERROR(RANK(A74,$A$12:$A$125,0)+COUNTIFS(A$12:A74,A74)-1,"")</f>
        <v/>
      </c>
      <c r="D74" s="166" t="s">
        <v>1236</v>
      </c>
      <c r="E74" s="165" t="s">
        <v>820</v>
      </c>
      <c r="F74" s="167" t="s">
        <v>1151</v>
      </c>
      <c r="G74" s="167" t="s">
        <v>1223</v>
      </c>
      <c r="H74" s="168" t="s">
        <v>1224</v>
      </c>
      <c r="I74" s="203" t="s">
        <v>1237</v>
      </c>
      <c r="J74" s="203" t="s">
        <v>1233</v>
      </c>
      <c r="K74" s="203">
        <v>240000</v>
      </c>
      <c r="L74" s="204"/>
      <c r="M74" s="204"/>
      <c r="N74" s="209">
        <f t="shared" si="0"/>
        <v>0</v>
      </c>
      <c r="O74" s="206" t="e">
        <f t="shared" si="1"/>
        <v>#DIV/0!</v>
      </c>
      <c r="P74" s="207">
        <f t="shared" si="2"/>
        <v>0</v>
      </c>
      <c r="Q74" s="234">
        <f t="shared" si="3"/>
        <v>0</v>
      </c>
      <c r="R74" s="235">
        <f t="shared" si="4"/>
        <v>0</v>
      </c>
      <c r="S74" s="236">
        <v>0.08</v>
      </c>
      <c r="T74" s="235">
        <f t="shared" si="5"/>
        <v>0</v>
      </c>
      <c r="U74" s="235">
        <f t="shared" si="6"/>
        <v>0</v>
      </c>
      <c r="V74" s="235">
        <f t="shared" si="7"/>
        <v>0</v>
      </c>
      <c r="W74" s="237" t="str">
        <f t="shared" si="8"/>
        <v>海天牌海天上等蚝油（经典版）</v>
      </c>
      <c r="X74" s="238" t="s">
        <v>1227</v>
      </c>
      <c r="Y74" s="259" t="s">
        <v>1084</v>
      </c>
      <c r="Z74" s="260" t="s">
        <v>1228</v>
      </c>
      <c r="AA74" s="261">
        <v>0.306</v>
      </c>
      <c r="AB74" s="261">
        <v>0.188</v>
      </c>
      <c r="AC74" s="261">
        <v>0.283</v>
      </c>
      <c r="AD74" s="262">
        <f t="shared" si="9"/>
        <v>0</v>
      </c>
      <c r="AE74" s="262">
        <f t="shared" si="10"/>
        <v>0</v>
      </c>
      <c r="AF74" s="263">
        <f t="shared" si="11"/>
        <v>0</v>
      </c>
      <c r="AG74" s="278" t="s">
        <v>1229</v>
      </c>
      <c r="AH74" s="278" t="s">
        <v>1064</v>
      </c>
      <c r="AI74" s="244">
        <f t="shared" si="12"/>
        <v>0</v>
      </c>
      <c r="AJ74" s="244">
        <f t="shared" si="13"/>
        <v>0</v>
      </c>
      <c r="AK74" s="244">
        <f t="shared" si="17"/>
        <v>0</v>
      </c>
      <c r="AL74" s="286"/>
      <c r="AM74" s="141"/>
      <c r="AN74" s="141"/>
      <c r="AO74" s="141"/>
      <c r="AP74" s="141"/>
      <c r="AQ74" s="141"/>
      <c r="AR74" s="141"/>
      <c r="AS74" s="141"/>
      <c r="AT74" s="141"/>
      <c r="AU74" s="141"/>
      <c r="AY74" s="305"/>
    </row>
    <row r="75" customHeight="1" spans="1:51">
      <c r="A75" s="162" t="str">
        <f t="shared" si="15"/>
        <v/>
      </c>
      <c r="B75" s="171"/>
      <c r="C75" s="165" t="str">
        <f>IFERROR(RANK(A75,$A$12:$A$125,0)+COUNTIFS(A$12:A75,A75)-1,"")</f>
        <v/>
      </c>
      <c r="D75" s="166" t="s">
        <v>1238</v>
      </c>
      <c r="E75" s="165" t="s">
        <v>917</v>
      </c>
      <c r="F75" s="167" t="s">
        <v>1151</v>
      </c>
      <c r="G75" s="167" t="s">
        <v>1239</v>
      </c>
      <c r="H75" s="168" t="s">
        <v>1240</v>
      </c>
      <c r="I75" s="203" t="s">
        <v>1241</v>
      </c>
      <c r="J75" s="203" t="s">
        <v>1242</v>
      </c>
      <c r="K75" s="203">
        <v>251200</v>
      </c>
      <c r="L75" s="204"/>
      <c r="M75" s="204"/>
      <c r="N75" s="209">
        <f t="shared" si="0"/>
        <v>0</v>
      </c>
      <c r="O75" s="206" t="e">
        <f t="shared" si="1"/>
        <v>#DIV/0!</v>
      </c>
      <c r="P75" s="207">
        <f t="shared" si="2"/>
        <v>0</v>
      </c>
      <c r="Q75" s="234">
        <f t="shared" si="3"/>
        <v>0</v>
      </c>
      <c r="R75" s="235">
        <f t="shared" si="4"/>
        <v>0</v>
      </c>
      <c r="S75" s="236">
        <v>0.08</v>
      </c>
      <c r="T75" s="235">
        <f t="shared" si="5"/>
        <v>0</v>
      </c>
      <c r="U75" s="235">
        <f t="shared" si="6"/>
        <v>0</v>
      </c>
      <c r="V75" s="235">
        <f t="shared" si="7"/>
        <v>0</v>
      </c>
      <c r="W75" s="237" t="str">
        <f t="shared" si="8"/>
        <v>海天牌海天上等蚝油（经典版）</v>
      </c>
      <c r="X75" s="238" t="s">
        <v>1243</v>
      </c>
      <c r="Y75" s="259" t="s">
        <v>913</v>
      </c>
      <c r="Z75" s="260" t="s">
        <v>1244</v>
      </c>
      <c r="AA75" s="261">
        <v>0.366</v>
      </c>
      <c r="AB75" s="261">
        <v>0.187</v>
      </c>
      <c r="AC75" s="261">
        <v>0.282</v>
      </c>
      <c r="AD75" s="262">
        <f t="shared" si="9"/>
        <v>0</v>
      </c>
      <c r="AE75" s="262">
        <f t="shared" si="10"/>
        <v>0</v>
      </c>
      <c r="AF75" s="263">
        <f t="shared" si="11"/>
        <v>0</v>
      </c>
      <c r="AG75" s="278" t="s">
        <v>1245</v>
      </c>
      <c r="AH75" s="278" t="s">
        <v>1246</v>
      </c>
      <c r="AI75" s="244">
        <f t="shared" si="12"/>
        <v>0</v>
      </c>
      <c r="AJ75" s="244">
        <f t="shared" si="13"/>
        <v>0</v>
      </c>
      <c r="AK75" s="244">
        <f t="shared" si="17"/>
        <v>0</v>
      </c>
      <c r="AL75" s="286" t="s">
        <v>1247</v>
      </c>
      <c r="AM75" s="141"/>
      <c r="AN75" s="141"/>
      <c r="AO75" s="141"/>
      <c r="AP75" s="141"/>
      <c r="AQ75" s="141"/>
      <c r="AR75" s="141"/>
      <c r="AS75" s="141"/>
      <c r="AT75" s="141"/>
      <c r="AU75" s="141"/>
      <c r="AY75" s="305"/>
    </row>
    <row r="76" customFormat="1" customHeight="1" spans="1:51">
      <c r="A76" s="162" t="str">
        <f t="shared" ref="A76:A126" si="18">IF(N76&lt;&gt;0,1,"")</f>
        <v/>
      </c>
      <c r="B76" s="171"/>
      <c r="C76" s="165" t="str">
        <f>IFERROR(RANK(A76,$A$12:$A$125,0)+COUNTIFS(A$12:A76,A76)-1,"")</f>
        <v/>
      </c>
      <c r="D76" s="166" t="s">
        <v>1248</v>
      </c>
      <c r="E76" s="165" t="s">
        <v>917</v>
      </c>
      <c r="F76" s="167" t="s">
        <v>1151</v>
      </c>
      <c r="G76" s="167" t="s">
        <v>1239</v>
      </c>
      <c r="H76" s="168" t="s">
        <v>1240</v>
      </c>
      <c r="I76" s="203" t="s">
        <v>1249</v>
      </c>
      <c r="J76" s="203" t="s">
        <v>1242</v>
      </c>
      <c r="K76" s="203">
        <v>251200</v>
      </c>
      <c r="L76" s="204"/>
      <c r="M76" s="204"/>
      <c r="N76" s="209">
        <f t="shared" ref="N76:N124" si="19">L76+M76</f>
        <v>0</v>
      </c>
      <c r="O76" s="206" t="e">
        <f t="shared" ref="O76:O126" si="20">IF(M76/N76&gt;1/9,"大于8送1",IF(ABS(M76/N76-1/9)&lt;0.0001,"8送1",IF(M76/N76&lt;1/9,IF(M76/N76&gt;1/10,"8送1和9送1之间",IF(ABS(M76/N76-1/10)&lt;0.0001,"9送1",IF(M76/N76&lt;1/10,IF(M76/N76&gt;1/11,"9送1和10送1之间",IF(ABS(M76/N76-1/11)&lt;0.0001,"10送1","小于10送1"))))))))</f>
        <v>#DIV/0!</v>
      </c>
      <c r="P76" s="207">
        <f t="shared" ref="P76:P126" si="21">K76*L76</f>
        <v>0</v>
      </c>
      <c r="Q76" s="234">
        <f t="shared" ref="Q76:Q126" si="22">K76*M76</f>
        <v>0</v>
      </c>
      <c r="R76" s="235">
        <f t="shared" ref="R76:R126" si="23">N76*K76</f>
        <v>0</v>
      </c>
      <c r="S76" s="236">
        <v>0.08</v>
      </c>
      <c r="T76" s="235">
        <f t="shared" ref="T76:T126" si="24">P76*(1+$S76)</f>
        <v>0</v>
      </c>
      <c r="U76" s="235">
        <f t="shared" ref="U76:U126" si="25">Q76*(1+$S76)</f>
        <v>0</v>
      </c>
      <c r="V76" s="235">
        <f t="shared" ref="V76:V126" si="26">R76*(1+$S76)</f>
        <v>0</v>
      </c>
      <c r="W76" s="237" t="str">
        <f t="shared" ref="W76:W126" si="27">"海天牌"&amp;F76</f>
        <v>海天牌海天上等蚝油（经典版）</v>
      </c>
      <c r="X76" s="238" t="s">
        <v>1243</v>
      </c>
      <c r="Y76" s="259" t="s">
        <v>913</v>
      </c>
      <c r="Z76" s="260" t="s">
        <v>1244</v>
      </c>
      <c r="AA76" s="261">
        <v>0.366</v>
      </c>
      <c r="AB76" s="261">
        <v>0.187</v>
      </c>
      <c r="AC76" s="261">
        <v>0.282</v>
      </c>
      <c r="AD76" s="262">
        <f t="shared" ref="AD76:AD126" si="28">(L76+M76)*Y76</f>
        <v>0</v>
      </c>
      <c r="AE76" s="262">
        <f t="shared" ref="AE76:AE126" si="29">(L76+M76)*Z76</f>
        <v>0</v>
      </c>
      <c r="AF76" s="263">
        <f t="shared" ref="AF76:AF126" si="30">ROUND((L76+M76)*AA76*AB76*AC76,2)</f>
        <v>0</v>
      </c>
      <c r="AG76" s="278" t="s">
        <v>1245</v>
      </c>
      <c r="AH76" s="278" t="s">
        <v>1246</v>
      </c>
      <c r="AI76" s="244">
        <f t="shared" ref="AI76:AI126" si="31">(L76+M76)/AG76</f>
        <v>0</v>
      </c>
      <c r="AJ76" s="244">
        <f t="shared" ref="AJ76:AJ126" si="32">ROUNDDOWN(AI76/0.95,0)</f>
        <v>0</v>
      </c>
      <c r="AK76" s="244">
        <f t="shared" si="17"/>
        <v>0</v>
      </c>
      <c r="AL76" s="286"/>
      <c r="AM76" s="141"/>
      <c r="AN76" s="141"/>
      <c r="AO76" s="141"/>
      <c r="AP76" s="141"/>
      <c r="AQ76" s="141"/>
      <c r="AR76" s="141"/>
      <c r="AS76" s="141"/>
      <c r="AT76" s="141"/>
      <c r="AU76" s="141"/>
      <c r="AV76" s="294"/>
      <c r="AY76" s="305"/>
    </row>
    <row r="77" s="133" customFormat="1" customHeight="1" spans="1:47">
      <c r="A77" s="162" t="str">
        <f t="shared" si="18"/>
        <v/>
      </c>
      <c r="B77" s="171"/>
      <c r="C77" s="165" t="str">
        <f>IFERROR(RANK(A77,$A$12:$A$125,0)+COUNTIFS(A$12:A77,A77)-1,"")</f>
        <v/>
      </c>
      <c r="D77" s="173" t="s">
        <v>1250</v>
      </c>
      <c r="E77" s="174" t="s">
        <v>820</v>
      </c>
      <c r="F77" s="175" t="s">
        <v>1151</v>
      </c>
      <c r="G77" s="175" t="s">
        <v>1239</v>
      </c>
      <c r="H77" s="176" t="s">
        <v>1240</v>
      </c>
      <c r="I77" s="203" t="s">
        <v>1251</v>
      </c>
      <c r="J77" s="208" t="s">
        <v>1242</v>
      </c>
      <c r="K77" s="208">
        <v>251200</v>
      </c>
      <c r="L77" s="209"/>
      <c r="M77" s="209"/>
      <c r="N77" s="209">
        <f t="shared" si="19"/>
        <v>0</v>
      </c>
      <c r="O77" s="211" t="e">
        <f t="shared" si="20"/>
        <v>#DIV/0!</v>
      </c>
      <c r="P77" s="212">
        <f t="shared" si="21"/>
        <v>0</v>
      </c>
      <c r="Q77" s="239">
        <f t="shared" si="22"/>
        <v>0</v>
      </c>
      <c r="R77" s="240">
        <f t="shared" si="23"/>
        <v>0</v>
      </c>
      <c r="S77" s="241">
        <v>0.08</v>
      </c>
      <c r="T77" s="240">
        <f t="shared" si="24"/>
        <v>0</v>
      </c>
      <c r="U77" s="240">
        <f t="shared" si="25"/>
        <v>0</v>
      </c>
      <c r="V77" s="240">
        <f t="shared" si="26"/>
        <v>0</v>
      </c>
      <c r="W77" s="242" t="str">
        <f t="shared" si="27"/>
        <v>海天牌海天上等蚝油（经典版）</v>
      </c>
      <c r="X77" s="243" t="s">
        <v>1243</v>
      </c>
      <c r="Y77" s="264" t="s">
        <v>913</v>
      </c>
      <c r="Z77" s="265" t="s">
        <v>1244</v>
      </c>
      <c r="AA77" s="266">
        <v>0.366</v>
      </c>
      <c r="AB77" s="266">
        <v>0.187</v>
      </c>
      <c r="AC77" s="266">
        <v>0.282</v>
      </c>
      <c r="AD77" s="267">
        <f t="shared" si="28"/>
        <v>0</v>
      </c>
      <c r="AE77" s="267">
        <f t="shared" si="29"/>
        <v>0</v>
      </c>
      <c r="AF77" s="268">
        <f t="shared" si="30"/>
        <v>0</v>
      </c>
      <c r="AG77" s="278" t="s">
        <v>1245</v>
      </c>
      <c r="AH77" s="278" t="s">
        <v>1246</v>
      </c>
      <c r="AI77" s="244">
        <f t="shared" si="31"/>
        <v>0</v>
      </c>
      <c r="AJ77" s="244">
        <f t="shared" si="32"/>
        <v>0</v>
      </c>
      <c r="AK77" s="244">
        <f t="shared" si="17"/>
        <v>0</v>
      </c>
      <c r="AL77" s="327"/>
      <c r="AM77" s="280"/>
      <c r="AN77" s="280"/>
      <c r="AO77" s="280"/>
      <c r="AP77" s="280"/>
      <c r="AQ77" s="280"/>
      <c r="AR77" s="280"/>
      <c r="AS77" s="280"/>
      <c r="AT77" s="280"/>
      <c r="AU77" s="280"/>
    </row>
    <row r="78" customHeight="1" spans="1:47">
      <c r="A78" s="162" t="str">
        <f t="shared" si="18"/>
        <v/>
      </c>
      <c r="B78" s="169"/>
      <c r="C78" s="165" t="str">
        <f>IFERROR(RANK(A78,$A$12:$A$125,0)+COUNTIFS(A$12:A78,A78)-1,"")</f>
        <v/>
      </c>
      <c r="D78" s="166" t="s">
        <v>1252</v>
      </c>
      <c r="E78" s="165" t="s">
        <v>820</v>
      </c>
      <c r="F78" s="167" t="s">
        <v>1151</v>
      </c>
      <c r="G78" s="167" t="s">
        <v>1239</v>
      </c>
      <c r="H78" s="168" t="s">
        <v>1240</v>
      </c>
      <c r="I78" s="203" t="s">
        <v>1253</v>
      </c>
      <c r="J78" s="203" t="s">
        <v>1242</v>
      </c>
      <c r="K78" s="203">
        <v>251200</v>
      </c>
      <c r="L78" s="204"/>
      <c r="M78" s="204"/>
      <c r="N78" s="209">
        <f t="shared" si="19"/>
        <v>0</v>
      </c>
      <c r="O78" s="206" t="e">
        <f t="shared" si="20"/>
        <v>#DIV/0!</v>
      </c>
      <c r="P78" s="207">
        <f t="shared" si="21"/>
        <v>0</v>
      </c>
      <c r="Q78" s="234">
        <f t="shared" si="22"/>
        <v>0</v>
      </c>
      <c r="R78" s="235">
        <f t="shared" si="23"/>
        <v>0</v>
      </c>
      <c r="S78" s="236">
        <v>0.08</v>
      </c>
      <c r="T78" s="235">
        <f t="shared" si="24"/>
        <v>0</v>
      </c>
      <c r="U78" s="235">
        <f t="shared" si="25"/>
        <v>0</v>
      </c>
      <c r="V78" s="235">
        <f t="shared" si="26"/>
        <v>0</v>
      </c>
      <c r="W78" s="237" t="str">
        <f t="shared" si="27"/>
        <v>海天牌海天上等蚝油（经典版）</v>
      </c>
      <c r="X78" s="238" t="s">
        <v>1243</v>
      </c>
      <c r="Y78" s="259" t="s">
        <v>913</v>
      </c>
      <c r="Z78" s="260" t="s">
        <v>1244</v>
      </c>
      <c r="AA78" s="261">
        <v>0.366</v>
      </c>
      <c r="AB78" s="261">
        <v>0.187</v>
      </c>
      <c r="AC78" s="261">
        <v>0.282</v>
      </c>
      <c r="AD78" s="262">
        <f t="shared" si="28"/>
        <v>0</v>
      </c>
      <c r="AE78" s="262">
        <f t="shared" si="29"/>
        <v>0</v>
      </c>
      <c r="AF78" s="263">
        <f t="shared" si="30"/>
        <v>0</v>
      </c>
      <c r="AG78" s="278" t="s">
        <v>1245</v>
      </c>
      <c r="AH78" s="278" t="s">
        <v>1246</v>
      </c>
      <c r="AI78" s="244">
        <f t="shared" si="31"/>
        <v>0</v>
      </c>
      <c r="AJ78" s="244">
        <f t="shared" si="32"/>
        <v>0</v>
      </c>
      <c r="AK78" s="244">
        <f t="shared" si="17"/>
        <v>0</v>
      </c>
      <c r="AL78" s="286"/>
      <c r="AM78" s="141"/>
      <c r="AN78" s="141"/>
      <c r="AO78" s="141"/>
      <c r="AP78" s="141"/>
      <c r="AQ78" s="141"/>
      <c r="AR78" s="141"/>
      <c r="AS78" s="141"/>
      <c r="AT78" s="141"/>
      <c r="AU78" s="141"/>
    </row>
    <row r="79" customHeight="1" spans="1:47">
      <c r="A79" s="162" t="str">
        <f t="shared" si="18"/>
        <v/>
      </c>
      <c r="B79" s="165" t="s">
        <v>1254</v>
      </c>
      <c r="C79" s="165" t="str">
        <f>IFERROR(RANK(A79,$A$12:$A$125,0)+COUNTIFS(A$12:A79,A79)-1,"")</f>
        <v/>
      </c>
      <c r="D79" s="166" t="s">
        <v>1255</v>
      </c>
      <c r="E79" s="165" t="s">
        <v>917</v>
      </c>
      <c r="F79" s="167" t="s">
        <v>1254</v>
      </c>
      <c r="G79" s="167" t="s">
        <v>1256</v>
      </c>
      <c r="H79" s="168" t="s">
        <v>1257</v>
      </c>
      <c r="I79" s="203" t="s">
        <v>1258</v>
      </c>
      <c r="J79" s="203" t="s">
        <v>1259</v>
      </c>
      <c r="K79" s="203">
        <v>181400</v>
      </c>
      <c r="L79" s="204"/>
      <c r="M79" s="204"/>
      <c r="N79" s="209">
        <f t="shared" si="19"/>
        <v>0</v>
      </c>
      <c r="O79" s="206" t="e">
        <f t="shared" si="20"/>
        <v>#DIV/0!</v>
      </c>
      <c r="P79" s="207">
        <f t="shared" si="21"/>
        <v>0</v>
      </c>
      <c r="Q79" s="234">
        <f t="shared" si="22"/>
        <v>0</v>
      </c>
      <c r="R79" s="235">
        <f t="shared" si="23"/>
        <v>0</v>
      </c>
      <c r="S79" s="236">
        <v>0.08</v>
      </c>
      <c r="T79" s="235">
        <f t="shared" si="24"/>
        <v>0</v>
      </c>
      <c r="U79" s="235">
        <f t="shared" si="25"/>
        <v>0</v>
      </c>
      <c r="V79" s="235">
        <f t="shared" si="26"/>
        <v>0</v>
      </c>
      <c r="W79" s="237" t="str">
        <f t="shared" si="27"/>
        <v>海天牌海天金字装蚝油（经典版）</v>
      </c>
      <c r="X79" s="238" t="s">
        <v>1260</v>
      </c>
      <c r="Y79" s="259" t="s">
        <v>1261</v>
      </c>
      <c r="Z79" s="260" t="s">
        <v>1262</v>
      </c>
      <c r="AA79" s="261">
        <v>0.275</v>
      </c>
      <c r="AB79" s="261">
        <v>0.204</v>
      </c>
      <c r="AC79" s="261">
        <v>0.252</v>
      </c>
      <c r="AD79" s="262">
        <f t="shared" si="28"/>
        <v>0</v>
      </c>
      <c r="AE79" s="262">
        <f t="shared" si="29"/>
        <v>0</v>
      </c>
      <c r="AF79" s="263">
        <f t="shared" si="30"/>
        <v>0</v>
      </c>
      <c r="AG79" s="278" t="s">
        <v>828</v>
      </c>
      <c r="AH79" s="278" t="s">
        <v>1263</v>
      </c>
      <c r="AI79" s="244">
        <f t="shared" si="31"/>
        <v>0</v>
      </c>
      <c r="AJ79" s="244">
        <f t="shared" si="32"/>
        <v>0</v>
      </c>
      <c r="AK79" s="244">
        <f t="shared" si="17"/>
        <v>0</v>
      </c>
      <c r="AL79" s="286" t="s">
        <v>1264</v>
      </c>
      <c r="AM79" s="141"/>
      <c r="AN79" s="141"/>
      <c r="AO79" s="141"/>
      <c r="AP79" s="141"/>
      <c r="AQ79" s="141"/>
      <c r="AR79" s="141"/>
      <c r="AS79" s="141"/>
      <c r="AT79" s="141"/>
      <c r="AU79" s="141"/>
    </row>
    <row r="80" customHeight="1" spans="1:47">
      <c r="A80" s="162" t="str">
        <f t="shared" si="18"/>
        <v/>
      </c>
      <c r="B80" s="165"/>
      <c r="C80" s="165" t="str">
        <f>IFERROR(RANK(A80,$A$12:$A$125,0)+COUNTIFS(A$12:A80,A80)-1,"")</f>
        <v/>
      </c>
      <c r="D80" s="307" t="s">
        <v>1265</v>
      </c>
      <c r="E80" s="165" t="s">
        <v>917</v>
      </c>
      <c r="F80" s="167" t="s">
        <v>1254</v>
      </c>
      <c r="G80" s="167" t="s">
        <v>1256</v>
      </c>
      <c r="H80" s="168" t="s">
        <v>1257</v>
      </c>
      <c r="I80" s="203" t="s">
        <v>1266</v>
      </c>
      <c r="J80" s="203" t="s">
        <v>1259</v>
      </c>
      <c r="K80" s="203">
        <v>181400</v>
      </c>
      <c r="L80" s="204"/>
      <c r="M80" s="204"/>
      <c r="N80" s="209">
        <f t="shared" si="19"/>
        <v>0</v>
      </c>
      <c r="O80" s="206" t="e">
        <f t="shared" si="20"/>
        <v>#DIV/0!</v>
      </c>
      <c r="P80" s="207">
        <f t="shared" si="21"/>
        <v>0</v>
      </c>
      <c r="Q80" s="234">
        <f t="shared" si="22"/>
        <v>0</v>
      </c>
      <c r="R80" s="235">
        <f t="shared" si="23"/>
        <v>0</v>
      </c>
      <c r="S80" s="236">
        <v>0.08</v>
      </c>
      <c r="T80" s="235">
        <f t="shared" si="24"/>
        <v>0</v>
      </c>
      <c r="U80" s="235">
        <f t="shared" si="25"/>
        <v>0</v>
      </c>
      <c r="V80" s="235">
        <f t="shared" si="26"/>
        <v>0</v>
      </c>
      <c r="W80" s="237" t="str">
        <f t="shared" si="27"/>
        <v>海天牌海天金字装蚝油（经典版）</v>
      </c>
      <c r="X80" s="238" t="s">
        <v>1260</v>
      </c>
      <c r="Y80" s="259" t="s">
        <v>1261</v>
      </c>
      <c r="Z80" s="260" t="s">
        <v>1262</v>
      </c>
      <c r="AA80" s="261">
        <v>0.275</v>
      </c>
      <c r="AB80" s="261">
        <v>0.204</v>
      </c>
      <c r="AC80" s="261">
        <v>0.252</v>
      </c>
      <c r="AD80" s="262">
        <f t="shared" si="28"/>
        <v>0</v>
      </c>
      <c r="AE80" s="262">
        <f t="shared" si="29"/>
        <v>0</v>
      </c>
      <c r="AF80" s="263">
        <f t="shared" si="30"/>
        <v>0</v>
      </c>
      <c r="AG80" s="278" t="s">
        <v>828</v>
      </c>
      <c r="AH80" s="278" t="s">
        <v>1263</v>
      </c>
      <c r="AI80" s="244">
        <f t="shared" si="31"/>
        <v>0</v>
      </c>
      <c r="AJ80" s="244">
        <f t="shared" si="32"/>
        <v>0</v>
      </c>
      <c r="AK80" s="244">
        <f t="shared" si="17"/>
        <v>0</v>
      </c>
      <c r="AL80" s="286"/>
      <c r="AM80" s="141"/>
      <c r="AN80" s="141"/>
      <c r="AO80" s="141"/>
      <c r="AP80" s="141"/>
      <c r="AQ80" s="141"/>
      <c r="AR80" s="141"/>
      <c r="AS80" s="141"/>
      <c r="AT80" s="141"/>
      <c r="AU80" s="141"/>
    </row>
    <row r="81" customHeight="1" spans="1:47">
      <c r="A81" s="162" t="str">
        <f t="shared" si="18"/>
        <v/>
      </c>
      <c r="B81" s="165"/>
      <c r="C81" s="165" t="str">
        <f>IFERROR(RANK(A81,$A$12:$A$125,0)+COUNTIFS(A$12:A81,A81)-1,"")</f>
        <v/>
      </c>
      <c r="D81" s="307" t="s">
        <v>1267</v>
      </c>
      <c r="E81" s="165" t="s">
        <v>820</v>
      </c>
      <c r="F81" s="167" t="s">
        <v>1254</v>
      </c>
      <c r="G81" s="167" t="s">
        <v>1256</v>
      </c>
      <c r="H81" s="168" t="s">
        <v>1257</v>
      </c>
      <c r="I81" s="203" t="s">
        <v>1268</v>
      </c>
      <c r="J81" s="203" t="s">
        <v>1259</v>
      </c>
      <c r="K81" s="203">
        <v>181400</v>
      </c>
      <c r="L81" s="204"/>
      <c r="M81" s="204"/>
      <c r="N81" s="209">
        <f t="shared" si="19"/>
        <v>0</v>
      </c>
      <c r="O81" s="206" t="e">
        <f t="shared" si="20"/>
        <v>#DIV/0!</v>
      </c>
      <c r="P81" s="207">
        <f t="shared" si="21"/>
        <v>0</v>
      </c>
      <c r="Q81" s="234">
        <f t="shared" si="22"/>
        <v>0</v>
      </c>
      <c r="R81" s="235">
        <f t="shared" si="23"/>
        <v>0</v>
      </c>
      <c r="S81" s="236">
        <v>0.08</v>
      </c>
      <c r="T81" s="235">
        <f t="shared" si="24"/>
        <v>0</v>
      </c>
      <c r="U81" s="235">
        <f t="shared" si="25"/>
        <v>0</v>
      </c>
      <c r="V81" s="235">
        <f t="shared" si="26"/>
        <v>0</v>
      </c>
      <c r="W81" s="237" t="str">
        <f t="shared" si="27"/>
        <v>海天牌海天金字装蚝油（经典版）</v>
      </c>
      <c r="X81" s="238" t="s">
        <v>1260</v>
      </c>
      <c r="Y81" s="259" t="s">
        <v>1261</v>
      </c>
      <c r="Z81" s="260" t="s">
        <v>1262</v>
      </c>
      <c r="AA81" s="261">
        <v>0.275</v>
      </c>
      <c r="AB81" s="261">
        <v>0.204</v>
      </c>
      <c r="AC81" s="261">
        <v>0.252</v>
      </c>
      <c r="AD81" s="262">
        <f t="shared" si="28"/>
        <v>0</v>
      </c>
      <c r="AE81" s="262">
        <f t="shared" si="29"/>
        <v>0</v>
      </c>
      <c r="AF81" s="263">
        <f t="shared" si="30"/>
        <v>0</v>
      </c>
      <c r="AG81" s="278" t="s">
        <v>828</v>
      </c>
      <c r="AH81" s="278" t="s">
        <v>1263</v>
      </c>
      <c r="AI81" s="244">
        <f t="shared" si="31"/>
        <v>0</v>
      </c>
      <c r="AJ81" s="244">
        <f t="shared" si="32"/>
        <v>0</v>
      </c>
      <c r="AK81" s="244">
        <f t="shared" si="17"/>
        <v>0</v>
      </c>
      <c r="AL81" s="286"/>
      <c r="AM81" s="141"/>
      <c r="AN81" s="141"/>
      <c r="AO81" s="141"/>
      <c r="AP81" s="141"/>
      <c r="AQ81" s="141"/>
      <c r="AR81" s="141"/>
      <c r="AS81" s="141"/>
      <c r="AT81" s="141"/>
      <c r="AU81" s="141"/>
    </row>
    <row r="82" customHeight="1" spans="1:47">
      <c r="A82" s="162" t="str">
        <f t="shared" si="18"/>
        <v/>
      </c>
      <c r="B82" s="165"/>
      <c r="C82" s="165" t="str">
        <f>IFERROR(RANK(A82,$A$12:$A$125,0)+COUNTIFS(A$12:A82,A82)-1,"")</f>
        <v/>
      </c>
      <c r="D82" s="166" t="s">
        <v>1269</v>
      </c>
      <c r="E82" s="165" t="s">
        <v>917</v>
      </c>
      <c r="F82" s="167" t="str">
        <f>F79</f>
        <v>海天金字装蚝油（经典版）</v>
      </c>
      <c r="G82" s="167" t="s">
        <v>1270</v>
      </c>
      <c r="H82" s="168" t="s">
        <v>1271</v>
      </c>
      <c r="I82" s="203" t="s">
        <v>1272</v>
      </c>
      <c r="J82" s="203" t="s">
        <v>1273</v>
      </c>
      <c r="K82" s="203">
        <v>214900</v>
      </c>
      <c r="L82" s="204"/>
      <c r="M82" s="204"/>
      <c r="N82" s="209">
        <f t="shared" si="19"/>
        <v>0</v>
      </c>
      <c r="O82" s="206" t="e">
        <f t="shared" si="20"/>
        <v>#DIV/0!</v>
      </c>
      <c r="P82" s="207">
        <f t="shared" si="21"/>
        <v>0</v>
      </c>
      <c r="Q82" s="234">
        <f t="shared" si="22"/>
        <v>0</v>
      </c>
      <c r="R82" s="235">
        <f t="shared" si="23"/>
        <v>0</v>
      </c>
      <c r="S82" s="236">
        <v>0.08</v>
      </c>
      <c r="T82" s="235">
        <f t="shared" si="24"/>
        <v>0</v>
      </c>
      <c r="U82" s="235">
        <f t="shared" si="25"/>
        <v>0</v>
      </c>
      <c r="V82" s="235">
        <f t="shared" si="26"/>
        <v>0</v>
      </c>
      <c r="W82" s="237" t="str">
        <f t="shared" si="27"/>
        <v>海天牌海天金字装蚝油（经典版）</v>
      </c>
      <c r="X82" s="238" t="s">
        <v>1274</v>
      </c>
      <c r="Y82" s="259" t="s">
        <v>1275</v>
      </c>
      <c r="Z82" s="260" t="s">
        <v>1276</v>
      </c>
      <c r="AA82" s="261">
        <v>0.298</v>
      </c>
      <c r="AB82" s="261">
        <v>0.224</v>
      </c>
      <c r="AC82" s="261">
        <v>0.2775</v>
      </c>
      <c r="AD82" s="262">
        <f t="shared" si="28"/>
        <v>0</v>
      </c>
      <c r="AE82" s="262">
        <f t="shared" si="29"/>
        <v>0</v>
      </c>
      <c r="AF82" s="263">
        <f t="shared" si="30"/>
        <v>0</v>
      </c>
      <c r="AG82" s="278" t="s">
        <v>1206</v>
      </c>
      <c r="AH82" s="278" t="s">
        <v>1277</v>
      </c>
      <c r="AI82" s="244">
        <f t="shared" si="31"/>
        <v>0</v>
      </c>
      <c r="AJ82" s="244">
        <f t="shared" si="32"/>
        <v>0</v>
      </c>
      <c r="AK82" s="244">
        <f t="shared" si="17"/>
        <v>0</v>
      </c>
      <c r="AL82" s="286" t="s">
        <v>1278</v>
      </c>
      <c r="AM82" s="141"/>
      <c r="AN82" s="141"/>
      <c r="AO82" s="141"/>
      <c r="AP82" s="141"/>
      <c r="AQ82" s="141"/>
      <c r="AR82" s="141"/>
      <c r="AS82" s="141"/>
      <c r="AT82" s="141"/>
      <c r="AU82" s="141"/>
    </row>
    <row r="83" customHeight="1" spans="1:47">
      <c r="A83" s="162" t="str">
        <f t="shared" si="18"/>
        <v/>
      </c>
      <c r="B83" s="165"/>
      <c r="C83" s="165" t="str">
        <f>IFERROR(RANK(A83,$A$12:$A$125,0)+COUNTIFS(A$12:A83,A83)-1,"")</f>
        <v/>
      </c>
      <c r="D83" s="166" t="s">
        <v>1279</v>
      </c>
      <c r="E83" s="165" t="s">
        <v>917</v>
      </c>
      <c r="F83" s="167" t="str">
        <f>F82</f>
        <v>海天金字装蚝油（经典版）</v>
      </c>
      <c r="G83" s="167" t="s">
        <v>1270</v>
      </c>
      <c r="H83" s="168" t="s">
        <v>1271</v>
      </c>
      <c r="I83" s="203" t="s">
        <v>1280</v>
      </c>
      <c r="J83" s="203" t="s">
        <v>1273</v>
      </c>
      <c r="K83" s="203">
        <v>214900</v>
      </c>
      <c r="L83" s="204"/>
      <c r="M83" s="204"/>
      <c r="N83" s="209">
        <f t="shared" si="19"/>
        <v>0</v>
      </c>
      <c r="O83" s="206" t="e">
        <f t="shared" si="20"/>
        <v>#DIV/0!</v>
      </c>
      <c r="P83" s="207">
        <f t="shared" si="21"/>
        <v>0</v>
      </c>
      <c r="Q83" s="234">
        <f t="shared" si="22"/>
        <v>0</v>
      </c>
      <c r="R83" s="235">
        <f t="shared" si="23"/>
        <v>0</v>
      </c>
      <c r="S83" s="236">
        <v>0.08</v>
      </c>
      <c r="T83" s="235">
        <f t="shared" si="24"/>
        <v>0</v>
      </c>
      <c r="U83" s="235">
        <f t="shared" si="25"/>
        <v>0</v>
      </c>
      <c r="V83" s="235">
        <f t="shared" si="26"/>
        <v>0</v>
      </c>
      <c r="W83" s="237" t="str">
        <f t="shared" si="27"/>
        <v>海天牌海天金字装蚝油（经典版）</v>
      </c>
      <c r="X83" s="238" t="s">
        <v>1274</v>
      </c>
      <c r="Y83" s="259" t="s">
        <v>1275</v>
      </c>
      <c r="Z83" s="260" t="s">
        <v>1276</v>
      </c>
      <c r="AA83" s="261">
        <v>0.298</v>
      </c>
      <c r="AB83" s="261">
        <v>0.224</v>
      </c>
      <c r="AC83" s="261">
        <v>0.2775</v>
      </c>
      <c r="AD83" s="262">
        <f t="shared" si="28"/>
        <v>0</v>
      </c>
      <c r="AE83" s="262">
        <f t="shared" si="29"/>
        <v>0</v>
      </c>
      <c r="AF83" s="263">
        <f t="shared" si="30"/>
        <v>0</v>
      </c>
      <c r="AG83" s="278" t="s">
        <v>1206</v>
      </c>
      <c r="AH83" s="278" t="s">
        <v>1277</v>
      </c>
      <c r="AI83" s="244">
        <f t="shared" si="31"/>
        <v>0</v>
      </c>
      <c r="AJ83" s="244">
        <f t="shared" si="32"/>
        <v>0</v>
      </c>
      <c r="AK83" s="244">
        <f t="shared" si="17"/>
        <v>0</v>
      </c>
      <c r="AL83" s="286"/>
      <c r="AM83" s="141"/>
      <c r="AN83" s="141"/>
      <c r="AO83" s="141"/>
      <c r="AP83" s="141"/>
      <c r="AQ83" s="141"/>
      <c r="AR83" s="141"/>
      <c r="AS83" s="141"/>
      <c r="AT83" s="141"/>
      <c r="AU83" s="141"/>
    </row>
    <row r="84" customHeight="1" spans="1:47">
      <c r="A84" s="162" t="str">
        <f t="shared" si="18"/>
        <v/>
      </c>
      <c r="B84" s="165"/>
      <c r="C84" s="165" t="str">
        <f>IFERROR(RANK(A84,$A$12:$A$125,0)+COUNTIFS(A$12:A84,A84)-1,"")</f>
        <v/>
      </c>
      <c r="D84" s="166" t="s">
        <v>1281</v>
      </c>
      <c r="E84" s="165" t="s">
        <v>820</v>
      </c>
      <c r="F84" s="167" t="str">
        <f>F82</f>
        <v>海天金字装蚝油（经典版）</v>
      </c>
      <c r="G84" s="167" t="s">
        <v>1270</v>
      </c>
      <c r="H84" s="168" t="s">
        <v>1271</v>
      </c>
      <c r="I84" s="203" t="s">
        <v>1282</v>
      </c>
      <c r="J84" s="203" t="s">
        <v>1273</v>
      </c>
      <c r="K84" s="203">
        <v>214900</v>
      </c>
      <c r="L84" s="204"/>
      <c r="M84" s="204"/>
      <c r="N84" s="209">
        <f t="shared" si="19"/>
        <v>0</v>
      </c>
      <c r="O84" s="206" t="e">
        <f t="shared" si="20"/>
        <v>#DIV/0!</v>
      </c>
      <c r="P84" s="207">
        <f t="shared" si="21"/>
        <v>0</v>
      </c>
      <c r="Q84" s="234">
        <f t="shared" si="22"/>
        <v>0</v>
      </c>
      <c r="R84" s="235">
        <f t="shared" si="23"/>
        <v>0</v>
      </c>
      <c r="S84" s="236">
        <v>0.08</v>
      </c>
      <c r="T84" s="235">
        <f t="shared" si="24"/>
        <v>0</v>
      </c>
      <c r="U84" s="235">
        <f t="shared" si="25"/>
        <v>0</v>
      </c>
      <c r="V84" s="235">
        <f t="shared" si="26"/>
        <v>0</v>
      </c>
      <c r="W84" s="237" t="str">
        <f t="shared" si="27"/>
        <v>海天牌海天金字装蚝油（经典版）</v>
      </c>
      <c r="X84" s="238" t="s">
        <v>1274</v>
      </c>
      <c r="Y84" s="259" t="s">
        <v>1275</v>
      </c>
      <c r="Z84" s="260" t="s">
        <v>1276</v>
      </c>
      <c r="AA84" s="261">
        <v>0.298</v>
      </c>
      <c r="AB84" s="261">
        <v>0.224</v>
      </c>
      <c r="AC84" s="261">
        <v>0.2775</v>
      </c>
      <c r="AD84" s="262">
        <f t="shared" si="28"/>
        <v>0</v>
      </c>
      <c r="AE84" s="262">
        <f t="shared" si="29"/>
        <v>0</v>
      </c>
      <c r="AF84" s="263">
        <f t="shared" si="30"/>
        <v>0</v>
      </c>
      <c r="AG84" s="278" t="s">
        <v>1206</v>
      </c>
      <c r="AH84" s="278" t="s">
        <v>1277</v>
      </c>
      <c r="AI84" s="244">
        <f t="shared" si="31"/>
        <v>0</v>
      </c>
      <c r="AJ84" s="244">
        <f t="shared" si="32"/>
        <v>0</v>
      </c>
      <c r="AK84" s="244">
        <f t="shared" si="17"/>
        <v>0</v>
      </c>
      <c r="AL84" s="286"/>
      <c r="AM84" s="141"/>
      <c r="AN84" s="141"/>
      <c r="AO84" s="141"/>
      <c r="AP84" s="141"/>
      <c r="AQ84" s="141"/>
      <c r="AR84" s="141"/>
      <c r="AS84" s="141"/>
      <c r="AT84" s="141"/>
      <c r="AU84" s="141"/>
    </row>
    <row r="85" customHeight="1" spans="1:51">
      <c r="A85" s="162" t="str">
        <f t="shared" si="18"/>
        <v/>
      </c>
      <c r="B85" s="165"/>
      <c r="C85" s="165" t="str">
        <f>IFERROR(RANK(A85,$A$12:$A$125,0)+COUNTIFS(A$12:A85,A85)-1,"")</f>
        <v/>
      </c>
      <c r="D85" s="166" t="s">
        <v>1283</v>
      </c>
      <c r="E85" s="165" t="s">
        <v>917</v>
      </c>
      <c r="F85" s="167" t="str">
        <f>F82</f>
        <v>海天金字装蚝油（经典版）</v>
      </c>
      <c r="G85" s="167" t="s">
        <v>1284</v>
      </c>
      <c r="H85" s="168" t="s">
        <v>1285</v>
      </c>
      <c r="I85" s="203" t="s">
        <v>1286</v>
      </c>
      <c r="J85" s="203" t="s">
        <v>1287</v>
      </c>
      <c r="K85" s="203">
        <v>178600</v>
      </c>
      <c r="L85" s="204"/>
      <c r="M85" s="204"/>
      <c r="N85" s="209">
        <f t="shared" si="19"/>
        <v>0</v>
      </c>
      <c r="O85" s="206" t="e">
        <f t="shared" si="20"/>
        <v>#DIV/0!</v>
      </c>
      <c r="P85" s="207">
        <f t="shared" si="21"/>
        <v>0</v>
      </c>
      <c r="Q85" s="234">
        <f t="shared" si="22"/>
        <v>0</v>
      </c>
      <c r="R85" s="235">
        <f t="shared" si="23"/>
        <v>0</v>
      </c>
      <c r="S85" s="236">
        <v>0.08</v>
      </c>
      <c r="T85" s="235">
        <f t="shared" si="24"/>
        <v>0</v>
      </c>
      <c r="U85" s="235">
        <f t="shared" si="25"/>
        <v>0</v>
      </c>
      <c r="V85" s="235">
        <f t="shared" si="26"/>
        <v>0</v>
      </c>
      <c r="W85" s="237" t="str">
        <f t="shared" si="27"/>
        <v>海天牌海天金字装蚝油（经典版）</v>
      </c>
      <c r="X85" s="238" t="s">
        <v>1288</v>
      </c>
      <c r="Y85" s="259" t="s">
        <v>1289</v>
      </c>
      <c r="Z85" s="260" t="s">
        <v>1217</v>
      </c>
      <c r="AA85" s="261">
        <v>0.306</v>
      </c>
      <c r="AB85" s="261">
        <v>0.188</v>
      </c>
      <c r="AC85" s="261">
        <v>0.283</v>
      </c>
      <c r="AD85" s="262">
        <f t="shared" si="28"/>
        <v>0</v>
      </c>
      <c r="AE85" s="262">
        <f t="shared" si="29"/>
        <v>0</v>
      </c>
      <c r="AF85" s="263">
        <f t="shared" si="30"/>
        <v>0</v>
      </c>
      <c r="AG85" s="278" t="s">
        <v>1229</v>
      </c>
      <c r="AH85" s="278" t="s">
        <v>1290</v>
      </c>
      <c r="AI85" s="244">
        <f t="shared" si="31"/>
        <v>0</v>
      </c>
      <c r="AJ85" s="244">
        <f t="shared" si="32"/>
        <v>0</v>
      </c>
      <c r="AK85" s="244">
        <f t="shared" si="17"/>
        <v>0</v>
      </c>
      <c r="AL85" s="244"/>
      <c r="AM85" s="141"/>
      <c r="AN85" s="141"/>
      <c r="AO85" s="141"/>
      <c r="AP85" s="141"/>
      <c r="AQ85" s="141"/>
      <c r="AR85" s="141"/>
      <c r="AS85" s="141"/>
      <c r="AT85" s="141"/>
      <c r="AU85" s="141"/>
      <c r="AY85" s="305"/>
    </row>
    <row r="86" customHeight="1" spans="1:51">
      <c r="A86" s="162" t="str">
        <f t="shared" si="18"/>
        <v/>
      </c>
      <c r="B86" s="165"/>
      <c r="C86" s="165" t="str">
        <f>IFERROR(RANK(A86,$A$12:$A$125,0)+COUNTIFS(A$12:A86,A86)-1,"")</f>
        <v/>
      </c>
      <c r="D86" s="308" t="s">
        <v>1291</v>
      </c>
      <c r="E86" s="165" t="s">
        <v>917</v>
      </c>
      <c r="F86" s="167" t="str">
        <f>F84</f>
        <v>海天金字装蚝油（经典版）</v>
      </c>
      <c r="G86" s="167" t="s">
        <v>1284</v>
      </c>
      <c r="H86" s="168" t="s">
        <v>1285</v>
      </c>
      <c r="I86" s="203" t="s">
        <v>1292</v>
      </c>
      <c r="J86" s="203" t="s">
        <v>1287</v>
      </c>
      <c r="K86" s="203">
        <v>178600</v>
      </c>
      <c r="L86" s="204"/>
      <c r="M86" s="204"/>
      <c r="N86" s="209">
        <f t="shared" si="19"/>
        <v>0</v>
      </c>
      <c r="O86" s="206" t="e">
        <f t="shared" si="20"/>
        <v>#DIV/0!</v>
      </c>
      <c r="P86" s="207">
        <f t="shared" si="21"/>
        <v>0</v>
      </c>
      <c r="Q86" s="234">
        <f t="shared" si="22"/>
        <v>0</v>
      </c>
      <c r="R86" s="235">
        <f t="shared" si="23"/>
        <v>0</v>
      </c>
      <c r="S86" s="236">
        <v>0.08</v>
      </c>
      <c r="T86" s="235">
        <f t="shared" si="24"/>
        <v>0</v>
      </c>
      <c r="U86" s="235">
        <f t="shared" si="25"/>
        <v>0</v>
      </c>
      <c r="V86" s="235">
        <f t="shared" si="26"/>
        <v>0</v>
      </c>
      <c r="W86" s="237" t="str">
        <f t="shared" si="27"/>
        <v>海天牌海天金字装蚝油（经典版）</v>
      </c>
      <c r="X86" s="238" t="s">
        <v>1288</v>
      </c>
      <c r="Y86" s="259" t="s">
        <v>1289</v>
      </c>
      <c r="Z86" s="260" t="s">
        <v>1217</v>
      </c>
      <c r="AA86" s="261">
        <v>0.306</v>
      </c>
      <c r="AB86" s="261">
        <v>0.188</v>
      </c>
      <c r="AC86" s="261">
        <v>0.283</v>
      </c>
      <c r="AD86" s="262">
        <f t="shared" si="28"/>
        <v>0</v>
      </c>
      <c r="AE86" s="262">
        <f t="shared" si="29"/>
        <v>0</v>
      </c>
      <c r="AF86" s="263">
        <f t="shared" si="30"/>
        <v>0</v>
      </c>
      <c r="AG86" s="278" t="s">
        <v>1229</v>
      </c>
      <c r="AH86" s="278" t="s">
        <v>1290</v>
      </c>
      <c r="AI86" s="244">
        <f t="shared" si="31"/>
        <v>0</v>
      </c>
      <c r="AJ86" s="244">
        <f t="shared" si="32"/>
        <v>0</v>
      </c>
      <c r="AK86" s="244">
        <f t="shared" si="17"/>
        <v>0</v>
      </c>
      <c r="AL86" s="244"/>
      <c r="AM86" s="141"/>
      <c r="AN86" s="141"/>
      <c r="AO86" s="141"/>
      <c r="AP86" s="141"/>
      <c r="AQ86" s="141"/>
      <c r="AR86" s="141"/>
      <c r="AS86" s="141"/>
      <c r="AT86" s="141"/>
      <c r="AU86" s="141"/>
      <c r="AY86" s="305"/>
    </row>
    <row r="87" customHeight="1" spans="1:51">
      <c r="A87" s="162" t="str">
        <f t="shared" si="18"/>
        <v/>
      </c>
      <c r="B87" s="165"/>
      <c r="C87" s="165" t="str">
        <f>IFERROR(RANK(A87,$A$12:$A$125,0)+COUNTIFS(A$12:A87,A87)-1,"")</f>
        <v/>
      </c>
      <c r="D87" s="166" t="s">
        <v>1293</v>
      </c>
      <c r="E87" s="165" t="s">
        <v>820</v>
      </c>
      <c r="F87" s="167" t="str">
        <f>F85</f>
        <v>海天金字装蚝油（经典版）</v>
      </c>
      <c r="G87" s="167" t="s">
        <v>1284</v>
      </c>
      <c r="H87" s="168" t="s">
        <v>1285</v>
      </c>
      <c r="I87" s="203" t="s">
        <v>1294</v>
      </c>
      <c r="J87" s="203" t="s">
        <v>1287</v>
      </c>
      <c r="K87" s="203">
        <v>178600</v>
      </c>
      <c r="L87" s="204"/>
      <c r="M87" s="204"/>
      <c r="N87" s="209">
        <f t="shared" si="19"/>
        <v>0</v>
      </c>
      <c r="O87" s="206" t="e">
        <f t="shared" si="20"/>
        <v>#DIV/0!</v>
      </c>
      <c r="P87" s="207">
        <f t="shared" si="21"/>
        <v>0</v>
      </c>
      <c r="Q87" s="234">
        <f t="shared" si="22"/>
        <v>0</v>
      </c>
      <c r="R87" s="235">
        <f t="shared" si="23"/>
        <v>0</v>
      </c>
      <c r="S87" s="236">
        <v>0.08</v>
      </c>
      <c r="T87" s="235">
        <f t="shared" si="24"/>
        <v>0</v>
      </c>
      <c r="U87" s="235">
        <f t="shared" si="25"/>
        <v>0</v>
      </c>
      <c r="V87" s="235">
        <f t="shared" si="26"/>
        <v>0</v>
      </c>
      <c r="W87" s="237" t="str">
        <f t="shared" si="27"/>
        <v>海天牌海天金字装蚝油（经典版）</v>
      </c>
      <c r="X87" s="238" t="s">
        <v>1288</v>
      </c>
      <c r="Y87" s="259" t="s">
        <v>1289</v>
      </c>
      <c r="Z87" s="260" t="s">
        <v>1217</v>
      </c>
      <c r="AA87" s="261">
        <v>0.306</v>
      </c>
      <c r="AB87" s="261">
        <v>0.188</v>
      </c>
      <c r="AC87" s="261">
        <v>0.283</v>
      </c>
      <c r="AD87" s="262">
        <f t="shared" si="28"/>
        <v>0</v>
      </c>
      <c r="AE87" s="262">
        <f t="shared" si="29"/>
        <v>0</v>
      </c>
      <c r="AF87" s="263">
        <f t="shared" si="30"/>
        <v>0</v>
      </c>
      <c r="AG87" s="278" t="s">
        <v>1229</v>
      </c>
      <c r="AH87" s="278" t="s">
        <v>1290</v>
      </c>
      <c r="AI87" s="244">
        <f t="shared" si="31"/>
        <v>0</v>
      </c>
      <c r="AJ87" s="244">
        <f t="shared" si="32"/>
        <v>0</v>
      </c>
      <c r="AK87" s="244">
        <f t="shared" si="17"/>
        <v>0</v>
      </c>
      <c r="AL87" s="244"/>
      <c r="AM87" s="141"/>
      <c r="AN87" s="141"/>
      <c r="AO87" s="141"/>
      <c r="AP87" s="141"/>
      <c r="AQ87" s="141"/>
      <c r="AR87" s="141"/>
      <c r="AS87" s="141"/>
      <c r="AT87" s="141"/>
      <c r="AU87" s="141"/>
      <c r="AY87" s="305"/>
    </row>
    <row r="88" customHeight="1" spans="1:47">
      <c r="A88" s="162" t="str">
        <f t="shared" si="18"/>
        <v/>
      </c>
      <c r="B88" s="165"/>
      <c r="C88" s="165" t="str">
        <f>IFERROR(RANK(A88,$A$12:$A$125,0)+COUNTIFS(A$12:A88,A88)-1,"")</f>
        <v/>
      </c>
      <c r="D88" s="166" t="s">
        <v>1295</v>
      </c>
      <c r="E88" s="165" t="s">
        <v>820</v>
      </c>
      <c r="F88" s="167" t="str">
        <f>F87</f>
        <v>海天金字装蚝油（经典版）</v>
      </c>
      <c r="G88" s="167" t="s">
        <v>1284</v>
      </c>
      <c r="H88" s="168" t="s">
        <v>1285</v>
      </c>
      <c r="I88" s="203" t="s">
        <v>1296</v>
      </c>
      <c r="J88" s="203" t="s">
        <v>1297</v>
      </c>
      <c r="K88" s="203">
        <v>178600</v>
      </c>
      <c r="L88" s="204"/>
      <c r="M88" s="204"/>
      <c r="N88" s="209">
        <f t="shared" si="19"/>
        <v>0</v>
      </c>
      <c r="O88" s="206" t="e">
        <f t="shared" si="20"/>
        <v>#DIV/0!</v>
      </c>
      <c r="P88" s="207">
        <f t="shared" si="21"/>
        <v>0</v>
      </c>
      <c r="Q88" s="234">
        <f t="shared" si="22"/>
        <v>0</v>
      </c>
      <c r="R88" s="235">
        <f t="shared" si="23"/>
        <v>0</v>
      </c>
      <c r="S88" s="236">
        <v>0.08</v>
      </c>
      <c r="T88" s="235">
        <f t="shared" si="24"/>
        <v>0</v>
      </c>
      <c r="U88" s="235">
        <f t="shared" si="25"/>
        <v>0</v>
      </c>
      <c r="V88" s="235">
        <f t="shared" si="26"/>
        <v>0</v>
      </c>
      <c r="W88" s="237" t="str">
        <f t="shared" si="27"/>
        <v>海天牌海天金字装蚝油（经典版）</v>
      </c>
      <c r="X88" s="238" t="s">
        <v>1288</v>
      </c>
      <c r="Y88" s="259" t="s">
        <v>1289</v>
      </c>
      <c r="Z88" s="260" t="s">
        <v>1217</v>
      </c>
      <c r="AA88" s="261">
        <v>0.306</v>
      </c>
      <c r="AB88" s="261">
        <v>0.188</v>
      </c>
      <c r="AC88" s="261">
        <v>0.283</v>
      </c>
      <c r="AD88" s="262">
        <f t="shared" si="28"/>
        <v>0</v>
      </c>
      <c r="AE88" s="262">
        <f t="shared" si="29"/>
        <v>0</v>
      </c>
      <c r="AF88" s="263">
        <f t="shared" si="30"/>
        <v>0</v>
      </c>
      <c r="AG88" s="278" t="s">
        <v>1229</v>
      </c>
      <c r="AH88" s="278" t="s">
        <v>1290</v>
      </c>
      <c r="AI88" s="244">
        <f t="shared" si="31"/>
        <v>0</v>
      </c>
      <c r="AJ88" s="244">
        <f t="shared" si="32"/>
        <v>0</v>
      </c>
      <c r="AK88" s="244">
        <f t="shared" si="17"/>
        <v>0</v>
      </c>
      <c r="AL88" s="244"/>
      <c r="AM88" s="141"/>
      <c r="AN88" s="141"/>
      <c r="AO88" s="141"/>
      <c r="AP88" s="141"/>
      <c r="AQ88" s="141"/>
      <c r="AR88" s="141"/>
      <c r="AS88" s="141"/>
      <c r="AT88" s="141"/>
      <c r="AU88" s="141"/>
    </row>
    <row r="89" customHeight="1" spans="1:47">
      <c r="A89" s="162" t="str">
        <f t="shared" si="18"/>
        <v/>
      </c>
      <c r="B89" s="165"/>
      <c r="C89" s="165" t="str">
        <f>IFERROR(RANK(A89,$A$12:$A$125,0)+COUNTIFS(A$12:A89,A89)-1,"")</f>
        <v/>
      </c>
      <c r="D89" s="166" t="s">
        <v>1298</v>
      </c>
      <c r="E89" s="165" t="s">
        <v>917</v>
      </c>
      <c r="F89" s="167" t="str">
        <f>F87</f>
        <v>海天金字装蚝油（经典版）</v>
      </c>
      <c r="G89" s="167" t="s">
        <v>1299</v>
      </c>
      <c r="H89" s="168" t="s">
        <v>1300</v>
      </c>
      <c r="I89" s="203" t="s">
        <v>1301</v>
      </c>
      <c r="J89" s="203" t="s">
        <v>1302</v>
      </c>
      <c r="K89" s="203">
        <v>212100</v>
      </c>
      <c r="L89" s="204"/>
      <c r="M89" s="204"/>
      <c r="N89" s="209">
        <f t="shared" si="19"/>
        <v>0</v>
      </c>
      <c r="O89" s="206" t="e">
        <f t="shared" si="20"/>
        <v>#DIV/0!</v>
      </c>
      <c r="P89" s="207">
        <f t="shared" si="21"/>
        <v>0</v>
      </c>
      <c r="Q89" s="234">
        <f t="shared" si="22"/>
        <v>0</v>
      </c>
      <c r="R89" s="235">
        <f t="shared" si="23"/>
        <v>0</v>
      </c>
      <c r="S89" s="236">
        <v>0.08</v>
      </c>
      <c r="T89" s="235">
        <f t="shared" si="24"/>
        <v>0</v>
      </c>
      <c r="U89" s="235">
        <f t="shared" si="25"/>
        <v>0</v>
      </c>
      <c r="V89" s="235">
        <f t="shared" si="26"/>
        <v>0</v>
      </c>
      <c r="W89" s="237" t="str">
        <f t="shared" si="27"/>
        <v>海天牌海天金字装蚝油（经典版）</v>
      </c>
      <c r="X89" s="238" t="s">
        <v>1243</v>
      </c>
      <c r="Y89" s="259" t="s">
        <v>913</v>
      </c>
      <c r="Z89" s="260" t="s">
        <v>1244</v>
      </c>
      <c r="AA89" s="261">
        <v>0.366</v>
      </c>
      <c r="AB89" s="261">
        <v>0.187</v>
      </c>
      <c r="AC89" s="261">
        <v>0.282</v>
      </c>
      <c r="AD89" s="262">
        <f t="shared" si="28"/>
        <v>0</v>
      </c>
      <c r="AE89" s="262">
        <f t="shared" si="29"/>
        <v>0</v>
      </c>
      <c r="AF89" s="263">
        <f t="shared" si="30"/>
        <v>0</v>
      </c>
      <c r="AG89" s="278" t="s">
        <v>1245</v>
      </c>
      <c r="AH89" s="278" t="s">
        <v>1246</v>
      </c>
      <c r="AI89" s="244">
        <f t="shared" si="31"/>
        <v>0</v>
      </c>
      <c r="AJ89" s="244">
        <f t="shared" si="32"/>
        <v>0</v>
      </c>
      <c r="AK89" s="244">
        <f t="shared" si="17"/>
        <v>0</v>
      </c>
      <c r="AL89" s="244"/>
      <c r="AM89" s="141"/>
      <c r="AN89" s="141"/>
      <c r="AO89" s="141"/>
      <c r="AP89" s="141"/>
      <c r="AQ89" s="141"/>
      <c r="AR89" s="141"/>
      <c r="AS89" s="141"/>
      <c r="AT89" s="141"/>
      <c r="AU89" s="141"/>
    </row>
    <row r="90" customHeight="1" spans="1:47">
      <c r="A90" s="162" t="str">
        <f t="shared" si="18"/>
        <v/>
      </c>
      <c r="B90" s="165"/>
      <c r="C90" s="165" t="str">
        <f>IFERROR(RANK(A90,$A$12:$A$125,0)+COUNTIFS(A$12:A90,A90)-1,"")</f>
        <v/>
      </c>
      <c r="D90" s="166" t="s">
        <v>1303</v>
      </c>
      <c r="E90" s="165" t="s">
        <v>917</v>
      </c>
      <c r="F90" s="167" t="str">
        <f>F88</f>
        <v>海天金字装蚝油（经典版）</v>
      </c>
      <c r="G90" s="167" t="s">
        <v>1299</v>
      </c>
      <c r="H90" s="168" t="s">
        <v>1300</v>
      </c>
      <c r="I90" s="203" t="s">
        <v>1304</v>
      </c>
      <c r="J90" s="203" t="s">
        <v>1302</v>
      </c>
      <c r="K90" s="203">
        <v>212100</v>
      </c>
      <c r="L90" s="204"/>
      <c r="M90" s="204"/>
      <c r="N90" s="209">
        <f t="shared" si="19"/>
        <v>0</v>
      </c>
      <c r="O90" s="206" t="e">
        <f t="shared" si="20"/>
        <v>#DIV/0!</v>
      </c>
      <c r="P90" s="207">
        <f t="shared" si="21"/>
        <v>0</v>
      </c>
      <c r="Q90" s="234">
        <f t="shared" si="22"/>
        <v>0</v>
      </c>
      <c r="R90" s="235">
        <f t="shared" si="23"/>
        <v>0</v>
      </c>
      <c r="S90" s="236">
        <v>0.08</v>
      </c>
      <c r="T90" s="235">
        <f t="shared" si="24"/>
        <v>0</v>
      </c>
      <c r="U90" s="235">
        <f t="shared" si="25"/>
        <v>0</v>
      </c>
      <c r="V90" s="235">
        <f t="shared" si="26"/>
        <v>0</v>
      </c>
      <c r="W90" s="237" t="str">
        <f t="shared" si="27"/>
        <v>海天牌海天金字装蚝油（经典版）</v>
      </c>
      <c r="X90" s="238" t="s">
        <v>1243</v>
      </c>
      <c r="Y90" s="259" t="s">
        <v>913</v>
      </c>
      <c r="Z90" s="260" t="s">
        <v>1244</v>
      </c>
      <c r="AA90" s="261">
        <v>0.366</v>
      </c>
      <c r="AB90" s="261">
        <v>0.187</v>
      </c>
      <c r="AC90" s="261">
        <v>0.282</v>
      </c>
      <c r="AD90" s="262">
        <f t="shared" si="28"/>
        <v>0</v>
      </c>
      <c r="AE90" s="262">
        <f t="shared" si="29"/>
        <v>0</v>
      </c>
      <c r="AF90" s="263">
        <f t="shared" si="30"/>
        <v>0</v>
      </c>
      <c r="AG90" s="278" t="s">
        <v>1245</v>
      </c>
      <c r="AH90" s="278" t="s">
        <v>1246</v>
      </c>
      <c r="AI90" s="244">
        <f t="shared" si="31"/>
        <v>0</v>
      </c>
      <c r="AJ90" s="244">
        <f t="shared" si="32"/>
        <v>0</v>
      </c>
      <c r="AK90" s="244">
        <f t="shared" si="17"/>
        <v>0</v>
      </c>
      <c r="AL90" s="244"/>
      <c r="AM90" s="141"/>
      <c r="AN90" s="141"/>
      <c r="AO90" s="141"/>
      <c r="AP90" s="141"/>
      <c r="AQ90" s="141"/>
      <c r="AR90" s="141"/>
      <c r="AS90" s="141"/>
      <c r="AT90" s="141"/>
      <c r="AU90" s="141"/>
    </row>
    <row r="91" customHeight="1" spans="1:47">
      <c r="A91" s="162" t="str">
        <f t="shared" si="18"/>
        <v/>
      </c>
      <c r="B91" s="165"/>
      <c r="C91" s="165" t="str">
        <f>IFERROR(RANK(A91,$A$12:$A$125,0)+COUNTIFS(A$12:A91,A91)-1,"")</f>
        <v/>
      </c>
      <c r="D91" s="166" t="s">
        <v>1305</v>
      </c>
      <c r="E91" s="165" t="s">
        <v>820</v>
      </c>
      <c r="F91" s="167" t="str">
        <f>F88</f>
        <v>海天金字装蚝油（经典版）</v>
      </c>
      <c r="G91" s="167" t="s">
        <v>1299</v>
      </c>
      <c r="H91" s="168" t="s">
        <v>1300</v>
      </c>
      <c r="I91" s="203" t="s">
        <v>1306</v>
      </c>
      <c r="J91" s="203" t="s">
        <v>1302</v>
      </c>
      <c r="K91" s="203">
        <v>212100</v>
      </c>
      <c r="L91" s="204"/>
      <c r="M91" s="204"/>
      <c r="N91" s="209">
        <f t="shared" si="19"/>
        <v>0</v>
      </c>
      <c r="O91" s="206" t="e">
        <f t="shared" si="20"/>
        <v>#DIV/0!</v>
      </c>
      <c r="P91" s="207">
        <f t="shared" si="21"/>
        <v>0</v>
      </c>
      <c r="Q91" s="234">
        <f t="shared" si="22"/>
        <v>0</v>
      </c>
      <c r="R91" s="235">
        <f t="shared" si="23"/>
        <v>0</v>
      </c>
      <c r="S91" s="236">
        <v>0.08</v>
      </c>
      <c r="T91" s="235">
        <f t="shared" si="24"/>
        <v>0</v>
      </c>
      <c r="U91" s="235">
        <f t="shared" si="25"/>
        <v>0</v>
      </c>
      <c r="V91" s="235">
        <f t="shared" si="26"/>
        <v>0</v>
      </c>
      <c r="W91" s="237" t="str">
        <f t="shared" si="27"/>
        <v>海天牌海天金字装蚝油（经典版）</v>
      </c>
      <c r="X91" s="238" t="s">
        <v>1243</v>
      </c>
      <c r="Y91" s="259" t="s">
        <v>913</v>
      </c>
      <c r="Z91" s="260" t="s">
        <v>1244</v>
      </c>
      <c r="AA91" s="261">
        <v>0.366</v>
      </c>
      <c r="AB91" s="261">
        <v>0.187</v>
      </c>
      <c r="AC91" s="261">
        <v>0.282</v>
      </c>
      <c r="AD91" s="262">
        <f t="shared" si="28"/>
        <v>0</v>
      </c>
      <c r="AE91" s="262">
        <f t="shared" si="29"/>
        <v>0</v>
      </c>
      <c r="AF91" s="263">
        <f t="shared" si="30"/>
        <v>0</v>
      </c>
      <c r="AG91" s="278" t="s">
        <v>1245</v>
      </c>
      <c r="AH91" s="278" t="s">
        <v>1246</v>
      </c>
      <c r="AI91" s="244">
        <f t="shared" si="31"/>
        <v>0</v>
      </c>
      <c r="AJ91" s="244">
        <f t="shared" si="32"/>
        <v>0</v>
      </c>
      <c r="AK91" s="244">
        <f t="shared" si="17"/>
        <v>0</v>
      </c>
      <c r="AL91" s="244"/>
      <c r="AM91" s="141"/>
      <c r="AN91" s="141"/>
      <c r="AO91" s="141"/>
      <c r="AP91" s="141"/>
      <c r="AQ91" s="141"/>
      <c r="AR91" s="141"/>
      <c r="AS91" s="141"/>
      <c r="AT91" s="141"/>
      <c r="AU91" s="141"/>
    </row>
    <row r="92" customHeight="1" spans="1:47">
      <c r="A92" s="162" t="str">
        <f t="shared" si="18"/>
        <v/>
      </c>
      <c r="B92" s="165"/>
      <c r="C92" s="165" t="str">
        <f>IFERROR(RANK(A92,$A$12:$A$125,0)+COUNTIFS(A$12:A92,A92)-1,"")</f>
        <v/>
      </c>
      <c r="D92" s="166" t="s">
        <v>1307</v>
      </c>
      <c r="E92" s="165" t="s">
        <v>820</v>
      </c>
      <c r="F92" s="167" t="str">
        <f>F89</f>
        <v>海天金字装蚝油（经典版）</v>
      </c>
      <c r="G92" s="167" t="s">
        <v>1299</v>
      </c>
      <c r="H92" s="168" t="s">
        <v>1300</v>
      </c>
      <c r="I92" s="203" t="s">
        <v>1308</v>
      </c>
      <c r="J92" s="203" t="s">
        <v>1302</v>
      </c>
      <c r="K92" s="203">
        <v>212100</v>
      </c>
      <c r="L92" s="204"/>
      <c r="M92" s="204"/>
      <c r="N92" s="209">
        <f t="shared" si="19"/>
        <v>0</v>
      </c>
      <c r="O92" s="206" t="e">
        <f t="shared" si="20"/>
        <v>#DIV/0!</v>
      </c>
      <c r="P92" s="207">
        <f t="shared" si="21"/>
        <v>0</v>
      </c>
      <c r="Q92" s="234">
        <f t="shared" si="22"/>
        <v>0</v>
      </c>
      <c r="R92" s="235">
        <f t="shared" si="23"/>
        <v>0</v>
      </c>
      <c r="S92" s="236">
        <v>0.08</v>
      </c>
      <c r="T92" s="235">
        <f t="shared" si="24"/>
        <v>0</v>
      </c>
      <c r="U92" s="235">
        <f t="shared" si="25"/>
        <v>0</v>
      </c>
      <c r="V92" s="235">
        <f t="shared" si="26"/>
        <v>0</v>
      </c>
      <c r="W92" s="237" t="str">
        <f t="shared" si="27"/>
        <v>海天牌海天金字装蚝油（经典版）</v>
      </c>
      <c r="X92" s="238" t="s">
        <v>1243</v>
      </c>
      <c r="Y92" s="259" t="s">
        <v>913</v>
      </c>
      <c r="Z92" s="260" t="s">
        <v>1244</v>
      </c>
      <c r="AA92" s="261">
        <v>0.366</v>
      </c>
      <c r="AB92" s="261">
        <v>0.187</v>
      </c>
      <c r="AC92" s="261">
        <v>0.282</v>
      </c>
      <c r="AD92" s="262">
        <f t="shared" si="28"/>
        <v>0</v>
      </c>
      <c r="AE92" s="262">
        <f t="shared" si="29"/>
        <v>0</v>
      </c>
      <c r="AF92" s="263">
        <f t="shared" si="30"/>
        <v>0</v>
      </c>
      <c r="AG92" s="278" t="s">
        <v>1245</v>
      </c>
      <c r="AH92" s="278" t="s">
        <v>1246</v>
      </c>
      <c r="AI92" s="244">
        <f t="shared" si="31"/>
        <v>0</v>
      </c>
      <c r="AJ92" s="244">
        <f t="shared" si="32"/>
        <v>0</v>
      </c>
      <c r="AK92" s="244">
        <f t="shared" si="17"/>
        <v>0</v>
      </c>
      <c r="AL92" s="244"/>
      <c r="AM92" s="141"/>
      <c r="AN92" s="141"/>
      <c r="AO92" s="141"/>
      <c r="AP92" s="141"/>
      <c r="AQ92" s="141"/>
      <c r="AR92" s="141"/>
      <c r="AS92" s="141"/>
      <c r="AT92" s="141"/>
      <c r="AU92" s="141"/>
    </row>
    <row r="93" customHeight="1" spans="1:47">
      <c r="A93" s="162" t="str">
        <f t="shared" si="18"/>
        <v/>
      </c>
      <c r="B93" s="170" t="s">
        <v>1309</v>
      </c>
      <c r="C93" s="165" t="str">
        <f>IFERROR(RANK(A93,$A$12:$A$125,0)+COUNTIFS(A$12:A93,A93)-1,"")</f>
        <v/>
      </c>
      <c r="D93" s="166" t="s">
        <v>1310</v>
      </c>
      <c r="E93" s="165" t="s">
        <v>917</v>
      </c>
      <c r="F93" s="203" t="s">
        <v>1311</v>
      </c>
      <c r="G93" s="167" t="s">
        <v>1312</v>
      </c>
      <c r="H93" s="168" t="s">
        <v>1313</v>
      </c>
      <c r="I93" s="203" t="s">
        <v>1314</v>
      </c>
      <c r="J93" s="203" t="s">
        <v>1315</v>
      </c>
      <c r="K93" s="203">
        <v>250000</v>
      </c>
      <c r="L93" s="204"/>
      <c r="M93" s="204"/>
      <c r="N93" s="209">
        <f t="shared" si="19"/>
        <v>0</v>
      </c>
      <c r="O93" s="206" t="e">
        <f t="shared" si="20"/>
        <v>#DIV/0!</v>
      </c>
      <c r="P93" s="207">
        <f t="shared" si="21"/>
        <v>0</v>
      </c>
      <c r="Q93" s="234">
        <f t="shared" si="22"/>
        <v>0</v>
      </c>
      <c r="R93" s="235">
        <f t="shared" si="23"/>
        <v>0</v>
      </c>
      <c r="S93" s="236">
        <v>0.08</v>
      </c>
      <c r="T93" s="235">
        <f t="shared" si="24"/>
        <v>0</v>
      </c>
      <c r="U93" s="235">
        <f t="shared" si="25"/>
        <v>0</v>
      </c>
      <c r="V93" s="235">
        <f t="shared" si="26"/>
        <v>0</v>
      </c>
      <c r="W93" s="237" t="str">
        <f t="shared" si="27"/>
        <v>海天牌海天香菇素食蚝油</v>
      </c>
      <c r="X93" s="238" t="s">
        <v>1316</v>
      </c>
      <c r="Y93" s="259">
        <v>6.4</v>
      </c>
      <c r="Z93" s="260">
        <v>5.72</v>
      </c>
      <c r="AA93" s="261">
        <v>0.252</v>
      </c>
      <c r="AB93" s="261">
        <v>0.18</v>
      </c>
      <c r="AC93" s="261">
        <v>0.23</v>
      </c>
      <c r="AD93" s="262">
        <f t="shared" si="28"/>
        <v>0</v>
      </c>
      <c r="AE93" s="262">
        <f t="shared" si="29"/>
        <v>0</v>
      </c>
      <c r="AF93" s="263">
        <f t="shared" si="30"/>
        <v>0</v>
      </c>
      <c r="AG93" s="278" t="s">
        <v>1184</v>
      </c>
      <c r="AH93" s="278" t="s">
        <v>1317</v>
      </c>
      <c r="AI93" s="244">
        <f t="shared" si="31"/>
        <v>0</v>
      </c>
      <c r="AJ93" s="244">
        <f t="shared" si="32"/>
        <v>0</v>
      </c>
      <c r="AK93" s="244">
        <f t="shared" si="17"/>
        <v>0</v>
      </c>
      <c r="AL93" s="244"/>
      <c r="AM93" s="141"/>
      <c r="AN93" s="141"/>
      <c r="AO93" s="141"/>
      <c r="AP93" s="141"/>
      <c r="AQ93" s="141"/>
      <c r="AR93" s="141"/>
      <c r="AS93" s="141"/>
      <c r="AT93" s="141"/>
      <c r="AU93" s="141"/>
    </row>
    <row r="94" customHeight="1" spans="1:47">
      <c r="A94" s="162" t="str">
        <f t="shared" si="18"/>
        <v/>
      </c>
      <c r="B94" s="170" t="s">
        <v>1318</v>
      </c>
      <c r="C94" s="165" t="str">
        <f>IFERROR(RANK(A94,$A$12:$A$125,0)+COUNTIFS(A$12:A94,A94)-1,"")</f>
        <v/>
      </c>
      <c r="D94" s="166" t="s">
        <v>1319</v>
      </c>
      <c r="E94" s="165" t="s">
        <v>820</v>
      </c>
      <c r="F94" s="167" t="s">
        <v>1320</v>
      </c>
      <c r="G94" s="167" t="s">
        <v>1321</v>
      </c>
      <c r="H94" s="309" t="s">
        <v>1322</v>
      </c>
      <c r="I94" s="203" t="s">
        <v>1323</v>
      </c>
      <c r="J94" s="203" t="s">
        <v>1324</v>
      </c>
      <c r="K94" s="203">
        <v>308000</v>
      </c>
      <c r="L94" s="204"/>
      <c r="M94" s="204"/>
      <c r="N94" s="209">
        <f t="shared" si="19"/>
        <v>0</v>
      </c>
      <c r="O94" s="206" t="e">
        <f t="shared" si="20"/>
        <v>#DIV/0!</v>
      </c>
      <c r="P94" s="207">
        <f t="shared" si="21"/>
        <v>0</v>
      </c>
      <c r="Q94" s="234">
        <f t="shared" si="22"/>
        <v>0</v>
      </c>
      <c r="R94" s="235">
        <f t="shared" si="23"/>
        <v>0</v>
      </c>
      <c r="S94" s="236">
        <v>0.08</v>
      </c>
      <c r="T94" s="235">
        <f t="shared" si="24"/>
        <v>0</v>
      </c>
      <c r="U94" s="235">
        <f t="shared" si="25"/>
        <v>0</v>
      </c>
      <c r="V94" s="235">
        <f t="shared" si="26"/>
        <v>0</v>
      </c>
      <c r="W94" s="237" t="str">
        <f t="shared" si="27"/>
        <v>海天牌海天叉烧酱</v>
      </c>
      <c r="X94" s="238" t="s">
        <v>1325</v>
      </c>
      <c r="Y94" s="259" t="s">
        <v>1326</v>
      </c>
      <c r="Z94" s="260" t="s">
        <v>1327</v>
      </c>
      <c r="AA94" s="261">
        <v>0.37</v>
      </c>
      <c r="AB94" s="261">
        <v>0.223</v>
      </c>
      <c r="AC94" s="261">
        <v>0.122</v>
      </c>
      <c r="AD94" s="262">
        <f t="shared" si="28"/>
        <v>0</v>
      </c>
      <c r="AE94" s="262">
        <f t="shared" si="29"/>
        <v>0</v>
      </c>
      <c r="AF94" s="263">
        <f t="shared" si="30"/>
        <v>0</v>
      </c>
      <c r="AG94" s="278" t="s">
        <v>1184</v>
      </c>
      <c r="AH94" s="278" t="s">
        <v>1328</v>
      </c>
      <c r="AI94" s="244">
        <f t="shared" si="31"/>
        <v>0</v>
      </c>
      <c r="AJ94" s="244">
        <f t="shared" si="32"/>
        <v>0</v>
      </c>
      <c r="AK94" s="244">
        <f t="shared" si="17"/>
        <v>0</v>
      </c>
      <c r="AL94" s="244"/>
      <c r="AM94" s="141"/>
      <c r="AN94" s="141"/>
      <c r="AO94" s="141"/>
      <c r="AP94" s="141"/>
      <c r="AQ94" s="141"/>
      <c r="AR94" s="141"/>
      <c r="AS94" s="141"/>
      <c r="AT94" s="141"/>
      <c r="AU94" s="141"/>
    </row>
    <row r="95" customHeight="1" spans="1:47">
      <c r="A95" s="162" t="str">
        <f t="shared" si="18"/>
        <v/>
      </c>
      <c r="B95" s="169"/>
      <c r="C95" s="165" t="str">
        <f>IFERROR(RANK(A95,$A$12:$A$125,0)+COUNTIFS(A$12:A95,A95)-1,"")</f>
        <v/>
      </c>
      <c r="D95" s="166" t="s">
        <v>1329</v>
      </c>
      <c r="E95" s="165" t="s">
        <v>820</v>
      </c>
      <c r="F95" s="167" t="s">
        <v>1320</v>
      </c>
      <c r="G95" s="167" t="s">
        <v>1330</v>
      </c>
      <c r="H95" s="309" t="s">
        <v>1331</v>
      </c>
      <c r="I95" s="203" t="s">
        <v>1332</v>
      </c>
      <c r="J95" s="203" t="s">
        <v>1333</v>
      </c>
      <c r="K95" s="203">
        <v>563500</v>
      </c>
      <c r="L95" s="204"/>
      <c r="M95" s="204"/>
      <c r="N95" s="209">
        <f t="shared" si="19"/>
        <v>0</v>
      </c>
      <c r="O95" s="206" t="e">
        <f t="shared" si="20"/>
        <v>#DIV/0!</v>
      </c>
      <c r="P95" s="207">
        <f t="shared" si="21"/>
        <v>0</v>
      </c>
      <c r="Q95" s="234">
        <f t="shared" si="22"/>
        <v>0</v>
      </c>
      <c r="R95" s="235">
        <f t="shared" si="23"/>
        <v>0</v>
      </c>
      <c r="S95" s="236">
        <v>0.08</v>
      </c>
      <c r="T95" s="235">
        <f t="shared" si="24"/>
        <v>0</v>
      </c>
      <c r="U95" s="235">
        <f t="shared" si="25"/>
        <v>0</v>
      </c>
      <c r="V95" s="235">
        <f t="shared" si="26"/>
        <v>0</v>
      </c>
      <c r="W95" s="237" t="str">
        <f t="shared" si="27"/>
        <v>海天牌海天叉烧酱</v>
      </c>
      <c r="X95" s="238" t="s">
        <v>1334</v>
      </c>
      <c r="Y95" s="259" t="s">
        <v>1335</v>
      </c>
      <c r="Z95" s="260" t="s">
        <v>1336</v>
      </c>
      <c r="AA95" s="261">
        <v>0.369</v>
      </c>
      <c r="AB95" s="261">
        <v>0.191</v>
      </c>
      <c r="AC95" s="261">
        <v>0.292</v>
      </c>
      <c r="AD95" s="262">
        <f t="shared" si="28"/>
        <v>0</v>
      </c>
      <c r="AE95" s="262">
        <f t="shared" si="29"/>
        <v>0</v>
      </c>
      <c r="AF95" s="263">
        <f t="shared" si="30"/>
        <v>0</v>
      </c>
      <c r="AG95" s="278" t="s">
        <v>894</v>
      </c>
      <c r="AH95" s="278" t="s">
        <v>1337</v>
      </c>
      <c r="AI95" s="244">
        <f t="shared" si="31"/>
        <v>0</v>
      </c>
      <c r="AJ95" s="244">
        <f t="shared" si="32"/>
        <v>0</v>
      </c>
      <c r="AK95" s="244">
        <f t="shared" si="17"/>
        <v>0</v>
      </c>
      <c r="AL95" s="244"/>
      <c r="AM95" s="141"/>
      <c r="AN95" s="141"/>
      <c r="AO95" s="141"/>
      <c r="AP95" s="141"/>
      <c r="AQ95" s="141"/>
      <c r="AR95" s="141"/>
      <c r="AS95" s="141"/>
      <c r="AT95" s="141"/>
      <c r="AU95" s="141"/>
    </row>
    <row r="96" customHeight="1" spans="1:47">
      <c r="A96" s="162" t="str">
        <f t="shared" si="18"/>
        <v/>
      </c>
      <c r="B96" s="170" t="s">
        <v>1338</v>
      </c>
      <c r="C96" s="165" t="str">
        <f>IFERROR(RANK(A96,$A$12:$A$125,0)+COUNTIFS(A$12:A96,A96)-1,"")</f>
        <v/>
      </c>
      <c r="D96" s="166" t="s">
        <v>1339</v>
      </c>
      <c r="E96" s="165" t="s">
        <v>820</v>
      </c>
      <c r="F96" s="167" t="s">
        <v>1340</v>
      </c>
      <c r="G96" s="167" t="s">
        <v>1341</v>
      </c>
      <c r="H96" s="309" t="s">
        <v>1342</v>
      </c>
      <c r="I96" s="203" t="s">
        <v>1343</v>
      </c>
      <c r="J96" s="203" t="s">
        <v>1344</v>
      </c>
      <c r="K96" s="203">
        <v>0</v>
      </c>
      <c r="L96" s="204"/>
      <c r="M96" s="204"/>
      <c r="N96" s="209">
        <f t="shared" si="19"/>
        <v>0</v>
      </c>
      <c r="O96" s="206" t="e">
        <f t="shared" si="20"/>
        <v>#DIV/0!</v>
      </c>
      <c r="P96" s="207">
        <f t="shared" si="21"/>
        <v>0</v>
      </c>
      <c r="Q96" s="234">
        <f t="shared" si="22"/>
        <v>0</v>
      </c>
      <c r="R96" s="235">
        <f t="shared" si="23"/>
        <v>0</v>
      </c>
      <c r="S96" s="236">
        <v>0.08</v>
      </c>
      <c r="T96" s="235">
        <f t="shared" si="24"/>
        <v>0</v>
      </c>
      <c r="U96" s="235">
        <f t="shared" si="25"/>
        <v>0</v>
      </c>
      <c r="V96" s="235">
        <f t="shared" si="26"/>
        <v>0</v>
      </c>
      <c r="W96" s="237" t="str">
        <f t="shared" si="27"/>
        <v>海天牌海天柱候酱</v>
      </c>
      <c r="X96" s="238" t="s">
        <v>1345</v>
      </c>
      <c r="Y96" s="259" t="s">
        <v>1346</v>
      </c>
      <c r="Z96" s="260" t="s">
        <v>1347</v>
      </c>
      <c r="AA96" s="261">
        <v>0.37</v>
      </c>
      <c r="AB96" s="261">
        <v>0.223</v>
      </c>
      <c r="AC96" s="261">
        <v>0.122</v>
      </c>
      <c r="AD96" s="262">
        <f t="shared" si="28"/>
        <v>0</v>
      </c>
      <c r="AE96" s="262">
        <f t="shared" si="29"/>
        <v>0</v>
      </c>
      <c r="AF96" s="263">
        <f t="shared" si="30"/>
        <v>0</v>
      </c>
      <c r="AG96" s="278" t="s">
        <v>1184</v>
      </c>
      <c r="AH96" s="278" t="s">
        <v>1317</v>
      </c>
      <c r="AI96" s="244">
        <f t="shared" si="31"/>
        <v>0</v>
      </c>
      <c r="AJ96" s="244">
        <f t="shared" si="32"/>
        <v>0</v>
      </c>
      <c r="AK96" s="244">
        <f t="shared" si="17"/>
        <v>0</v>
      </c>
      <c r="AL96" s="244"/>
      <c r="AM96" s="141"/>
      <c r="AN96" s="141"/>
      <c r="AO96" s="141"/>
      <c r="AP96" s="141"/>
      <c r="AQ96" s="141"/>
      <c r="AR96" s="141"/>
      <c r="AS96" s="141"/>
      <c r="AT96" s="141"/>
      <c r="AU96" s="141"/>
    </row>
    <row r="97" s="133" customFormat="1" customHeight="1" spans="1:47">
      <c r="A97" s="162" t="str">
        <f t="shared" si="18"/>
        <v/>
      </c>
      <c r="B97" s="179"/>
      <c r="C97" s="165" t="str">
        <f>IFERROR(RANK(A97,$A$12:$A$125,0)+COUNTIFS(A$12:A97,A97)-1,"")</f>
        <v/>
      </c>
      <c r="D97" s="173" t="s">
        <v>1348</v>
      </c>
      <c r="E97" s="174" t="s">
        <v>820</v>
      </c>
      <c r="F97" s="175" t="s">
        <v>1340</v>
      </c>
      <c r="G97" s="175" t="s">
        <v>1349</v>
      </c>
      <c r="H97" s="310" t="s">
        <v>1350</v>
      </c>
      <c r="I97" s="203" t="s">
        <v>1351</v>
      </c>
      <c r="J97" s="208" t="s">
        <v>1352</v>
      </c>
      <c r="K97" s="208">
        <v>487000</v>
      </c>
      <c r="L97" s="209"/>
      <c r="M97" s="209"/>
      <c r="N97" s="209">
        <f t="shared" si="19"/>
        <v>0</v>
      </c>
      <c r="O97" s="211" t="e">
        <f t="shared" si="20"/>
        <v>#DIV/0!</v>
      </c>
      <c r="P97" s="212">
        <f t="shared" si="21"/>
        <v>0</v>
      </c>
      <c r="Q97" s="239">
        <f t="shared" si="22"/>
        <v>0</v>
      </c>
      <c r="R97" s="240">
        <f t="shared" si="23"/>
        <v>0</v>
      </c>
      <c r="S97" s="241">
        <v>0.08</v>
      </c>
      <c r="T97" s="240">
        <f t="shared" si="24"/>
        <v>0</v>
      </c>
      <c r="U97" s="240">
        <f t="shared" si="25"/>
        <v>0</v>
      </c>
      <c r="V97" s="240">
        <f t="shared" si="26"/>
        <v>0</v>
      </c>
      <c r="W97" s="242" t="str">
        <f t="shared" si="27"/>
        <v>海天牌海天柱候酱</v>
      </c>
      <c r="X97" s="243" t="s">
        <v>1353</v>
      </c>
      <c r="Y97" s="264" t="s">
        <v>838</v>
      </c>
      <c r="Z97" s="265" t="s">
        <v>1097</v>
      </c>
      <c r="AA97" s="266">
        <v>0.369</v>
      </c>
      <c r="AB97" s="266">
        <v>0.191</v>
      </c>
      <c r="AC97" s="266">
        <v>0.292</v>
      </c>
      <c r="AD97" s="267">
        <f t="shared" si="28"/>
        <v>0</v>
      </c>
      <c r="AE97" s="267">
        <f t="shared" si="29"/>
        <v>0</v>
      </c>
      <c r="AF97" s="268">
        <f t="shared" si="30"/>
        <v>0</v>
      </c>
      <c r="AG97" s="278" t="s">
        <v>894</v>
      </c>
      <c r="AH97" s="278" t="s">
        <v>828</v>
      </c>
      <c r="AI97" s="244">
        <f t="shared" si="31"/>
        <v>0</v>
      </c>
      <c r="AJ97" s="244">
        <f t="shared" si="32"/>
        <v>0</v>
      </c>
      <c r="AK97" s="244">
        <f t="shared" si="17"/>
        <v>0</v>
      </c>
      <c r="AL97" s="279"/>
      <c r="AM97" s="280"/>
      <c r="AN97" s="280"/>
      <c r="AO97" s="280"/>
      <c r="AP97" s="280"/>
      <c r="AQ97" s="280"/>
      <c r="AR97" s="280"/>
      <c r="AS97" s="280"/>
      <c r="AT97" s="280"/>
      <c r="AU97" s="280"/>
    </row>
    <row r="98" customHeight="1" spans="1:47">
      <c r="A98" s="162" t="str">
        <f t="shared" si="18"/>
        <v/>
      </c>
      <c r="B98" s="165" t="s">
        <v>1354</v>
      </c>
      <c r="C98" s="165" t="str">
        <f>IFERROR(RANK(A98,$A$12:$A$125,0)+COUNTIFS(A$12:A98,A98)-1,"")</f>
        <v/>
      </c>
      <c r="D98" s="166" t="s">
        <v>1355</v>
      </c>
      <c r="E98" s="165" t="s">
        <v>820</v>
      </c>
      <c r="F98" s="167" t="s">
        <v>1354</v>
      </c>
      <c r="G98" s="167" t="s">
        <v>1356</v>
      </c>
      <c r="H98" s="167" t="s">
        <v>1357</v>
      </c>
      <c r="I98" s="203" t="s">
        <v>1358</v>
      </c>
      <c r="J98" s="203" t="s">
        <v>1359</v>
      </c>
      <c r="K98" s="203">
        <v>180000</v>
      </c>
      <c r="L98" s="204"/>
      <c r="M98" s="204"/>
      <c r="N98" s="204">
        <f t="shared" si="19"/>
        <v>0</v>
      </c>
      <c r="O98" s="206" t="e">
        <f t="shared" si="20"/>
        <v>#DIV/0!</v>
      </c>
      <c r="P98" s="207">
        <f t="shared" si="21"/>
        <v>0</v>
      </c>
      <c r="Q98" s="234">
        <f t="shared" si="22"/>
        <v>0</v>
      </c>
      <c r="R98" s="235">
        <f t="shared" si="23"/>
        <v>0</v>
      </c>
      <c r="S98" s="236">
        <v>0.08</v>
      </c>
      <c r="T98" s="235">
        <f t="shared" si="24"/>
        <v>0</v>
      </c>
      <c r="U98" s="235">
        <f t="shared" si="25"/>
        <v>0</v>
      </c>
      <c r="V98" s="235">
        <f t="shared" si="26"/>
        <v>0</v>
      </c>
      <c r="W98" s="237" t="str">
        <f t="shared" si="27"/>
        <v>海天牌烤肉酱</v>
      </c>
      <c r="X98" s="238" t="s">
        <v>1360</v>
      </c>
      <c r="Y98" s="259" t="s">
        <v>1182</v>
      </c>
      <c r="Z98" s="260" t="s">
        <v>1361</v>
      </c>
      <c r="AA98" s="261">
        <v>0.367</v>
      </c>
      <c r="AB98" s="261">
        <v>0.224</v>
      </c>
      <c r="AC98" s="261">
        <v>0.109</v>
      </c>
      <c r="AD98" s="262">
        <f t="shared" si="28"/>
        <v>0</v>
      </c>
      <c r="AE98" s="262">
        <f t="shared" si="29"/>
        <v>0</v>
      </c>
      <c r="AF98" s="263">
        <f t="shared" si="30"/>
        <v>0</v>
      </c>
      <c r="AG98" s="278" t="s">
        <v>1362</v>
      </c>
      <c r="AH98" s="278" t="s">
        <v>1185</v>
      </c>
      <c r="AI98" s="244">
        <f t="shared" si="31"/>
        <v>0</v>
      </c>
      <c r="AJ98" s="244">
        <f t="shared" si="32"/>
        <v>0</v>
      </c>
      <c r="AK98" s="244">
        <f t="shared" si="17"/>
        <v>0</v>
      </c>
      <c r="AL98" s="328"/>
      <c r="AM98" s="141"/>
      <c r="AN98" s="141"/>
      <c r="AO98" s="141"/>
      <c r="AP98" s="141"/>
      <c r="AQ98" s="141"/>
      <c r="AR98" s="141"/>
      <c r="AS98" s="141"/>
      <c r="AT98" s="141"/>
      <c r="AU98" s="141"/>
    </row>
    <row r="99" customHeight="1" spans="1:51">
      <c r="A99" s="162" t="str">
        <f t="shared" si="18"/>
        <v/>
      </c>
      <c r="B99" s="165"/>
      <c r="C99" s="165" t="str">
        <f>IFERROR(RANK(A99,$A$12:$A$125,0)+COUNTIFS(A$12:A99,A99)-1,"")</f>
        <v/>
      </c>
      <c r="D99" s="166" t="s">
        <v>1363</v>
      </c>
      <c r="E99" s="165" t="s">
        <v>820</v>
      </c>
      <c r="F99" s="167" t="str">
        <f>F98</f>
        <v>烤肉酱</v>
      </c>
      <c r="G99" s="167" t="s">
        <v>1364</v>
      </c>
      <c r="H99" s="167" t="s">
        <v>1365</v>
      </c>
      <c r="I99" s="203" t="s">
        <v>1366</v>
      </c>
      <c r="J99" s="203" t="s">
        <v>1367</v>
      </c>
      <c r="K99" s="203">
        <v>210000</v>
      </c>
      <c r="L99" s="204"/>
      <c r="M99" s="204"/>
      <c r="N99" s="204">
        <f t="shared" si="19"/>
        <v>0</v>
      </c>
      <c r="O99" s="206" t="e">
        <f t="shared" si="20"/>
        <v>#DIV/0!</v>
      </c>
      <c r="P99" s="207">
        <f t="shared" si="21"/>
        <v>0</v>
      </c>
      <c r="Q99" s="234">
        <f t="shared" si="22"/>
        <v>0</v>
      </c>
      <c r="R99" s="235">
        <f t="shared" si="23"/>
        <v>0</v>
      </c>
      <c r="S99" s="236">
        <v>0.08</v>
      </c>
      <c r="T99" s="235">
        <f t="shared" si="24"/>
        <v>0</v>
      </c>
      <c r="U99" s="235">
        <f t="shared" si="25"/>
        <v>0</v>
      </c>
      <c r="V99" s="235">
        <f t="shared" si="26"/>
        <v>0</v>
      </c>
      <c r="W99" s="237" t="str">
        <f t="shared" si="27"/>
        <v>海天牌烤肉酱</v>
      </c>
      <c r="X99" s="238" t="s">
        <v>1368</v>
      </c>
      <c r="Y99" s="259" t="s">
        <v>1369</v>
      </c>
      <c r="Z99" s="260" t="s">
        <v>1370</v>
      </c>
      <c r="AA99" s="261">
        <v>0.367</v>
      </c>
      <c r="AB99" s="261">
        <v>0.224</v>
      </c>
      <c r="AC99" s="261">
        <v>0.149</v>
      </c>
      <c r="AD99" s="262">
        <f t="shared" si="28"/>
        <v>0</v>
      </c>
      <c r="AE99" s="262">
        <f t="shared" si="29"/>
        <v>0</v>
      </c>
      <c r="AF99" s="263">
        <f t="shared" si="30"/>
        <v>0</v>
      </c>
      <c r="AG99" s="278" t="s">
        <v>1371</v>
      </c>
      <c r="AH99" s="278" t="s">
        <v>1372</v>
      </c>
      <c r="AI99" s="244">
        <f t="shared" si="31"/>
        <v>0</v>
      </c>
      <c r="AJ99" s="244">
        <f t="shared" si="32"/>
        <v>0</v>
      </c>
      <c r="AK99" s="244">
        <f t="shared" si="17"/>
        <v>0</v>
      </c>
      <c r="AL99" s="244"/>
      <c r="AM99" s="141"/>
      <c r="AN99" s="141"/>
      <c r="AO99" s="141"/>
      <c r="AP99" s="141"/>
      <c r="AQ99" s="141"/>
      <c r="AR99" s="141"/>
      <c r="AS99" s="141"/>
      <c r="AT99" s="141"/>
      <c r="AU99" s="141"/>
      <c r="AY99" s="305"/>
    </row>
    <row r="100" customHeight="1" spans="1:51">
      <c r="A100" s="162" t="str">
        <f t="shared" si="18"/>
        <v/>
      </c>
      <c r="B100" s="165"/>
      <c r="C100" s="165" t="str">
        <f>IFERROR(RANK(A100,$A$12:$A$125,0)+COUNTIFS(A$12:A100,A100)-1,"")</f>
        <v/>
      </c>
      <c r="D100" s="166" t="s">
        <v>1373</v>
      </c>
      <c r="E100" s="165" t="s">
        <v>820</v>
      </c>
      <c r="F100" s="167" t="str">
        <f>F99</f>
        <v>烤肉酱</v>
      </c>
      <c r="G100" s="167" t="s">
        <v>1374</v>
      </c>
      <c r="H100" s="167" t="s">
        <v>1375</v>
      </c>
      <c r="I100" s="203" t="s">
        <v>1376</v>
      </c>
      <c r="J100" s="203" t="s">
        <v>1377</v>
      </c>
      <c r="K100" s="203">
        <v>190000</v>
      </c>
      <c r="L100" s="204"/>
      <c r="M100" s="204"/>
      <c r="N100" s="204">
        <f t="shared" si="19"/>
        <v>0</v>
      </c>
      <c r="O100" s="206" t="e">
        <f t="shared" si="20"/>
        <v>#DIV/0!</v>
      </c>
      <c r="P100" s="207">
        <f t="shared" si="21"/>
        <v>0</v>
      </c>
      <c r="Q100" s="234">
        <f t="shared" si="22"/>
        <v>0</v>
      </c>
      <c r="R100" s="235">
        <f t="shared" si="23"/>
        <v>0</v>
      </c>
      <c r="S100" s="236">
        <v>0.08</v>
      </c>
      <c r="T100" s="235">
        <f t="shared" si="24"/>
        <v>0</v>
      </c>
      <c r="U100" s="235">
        <f t="shared" si="25"/>
        <v>0</v>
      </c>
      <c r="V100" s="235">
        <f t="shared" si="26"/>
        <v>0</v>
      </c>
      <c r="W100" s="237" t="str">
        <f t="shared" si="27"/>
        <v>海天牌烤肉酱</v>
      </c>
      <c r="X100" s="238" t="s">
        <v>1378</v>
      </c>
      <c r="Y100" s="259" t="s">
        <v>1379</v>
      </c>
      <c r="Z100" s="260" t="s">
        <v>1159</v>
      </c>
      <c r="AA100" s="261">
        <v>0.3</v>
      </c>
      <c r="AB100" s="261">
        <v>0.205</v>
      </c>
      <c r="AC100" s="261">
        <v>0.18</v>
      </c>
      <c r="AD100" s="262">
        <f t="shared" si="28"/>
        <v>0</v>
      </c>
      <c r="AE100" s="262">
        <f t="shared" si="29"/>
        <v>0</v>
      </c>
      <c r="AF100" s="263">
        <f t="shared" si="30"/>
        <v>0</v>
      </c>
      <c r="AG100" s="278" t="s">
        <v>941</v>
      </c>
      <c r="AH100" s="278" t="s">
        <v>1380</v>
      </c>
      <c r="AI100" s="244">
        <f t="shared" si="31"/>
        <v>0</v>
      </c>
      <c r="AJ100" s="244">
        <f t="shared" si="32"/>
        <v>0</v>
      </c>
      <c r="AK100" s="244">
        <f t="shared" si="17"/>
        <v>0</v>
      </c>
      <c r="AL100" s="244"/>
      <c r="AM100" s="141"/>
      <c r="AN100" s="141"/>
      <c r="AO100" s="141"/>
      <c r="AP100" s="141"/>
      <c r="AQ100" s="141"/>
      <c r="AR100" s="141"/>
      <c r="AS100" s="141"/>
      <c r="AT100" s="141"/>
      <c r="AU100" s="141"/>
      <c r="AY100" s="305"/>
    </row>
    <row r="101" customHeight="1" spans="1:51">
      <c r="A101" s="162" t="str">
        <f t="shared" si="18"/>
        <v/>
      </c>
      <c r="B101" s="170" t="s">
        <v>1381</v>
      </c>
      <c r="C101" s="165" t="str">
        <f>IFERROR(RANK(A101,$A$12:$A$125,0)+COUNTIFS(A$12:A101,A101)-1,"")</f>
        <v/>
      </c>
      <c r="D101" s="166" t="s">
        <v>1382</v>
      </c>
      <c r="E101" s="165" t="s">
        <v>820</v>
      </c>
      <c r="F101" s="167" t="s">
        <v>1381</v>
      </c>
      <c r="G101" s="167" t="s">
        <v>1383</v>
      </c>
      <c r="H101" s="168" t="s">
        <v>1384</v>
      </c>
      <c r="I101" s="203" t="s">
        <v>1385</v>
      </c>
      <c r="J101" s="203" t="s">
        <v>1386</v>
      </c>
      <c r="K101" s="203">
        <v>253300</v>
      </c>
      <c r="L101" s="204"/>
      <c r="M101" s="204"/>
      <c r="N101" s="204">
        <f t="shared" si="19"/>
        <v>0</v>
      </c>
      <c r="O101" s="204" t="e">
        <f t="shared" si="20"/>
        <v>#DIV/0!</v>
      </c>
      <c r="P101" s="207">
        <f t="shared" si="21"/>
        <v>0</v>
      </c>
      <c r="Q101" s="234">
        <f t="shared" si="22"/>
        <v>0</v>
      </c>
      <c r="R101" s="235">
        <f t="shared" si="23"/>
        <v>0</v>
      </c>
      <c r="S101" s="236">
        <v>0.08</v>
      </c>
      <c r="T101" s="235">
        <f t="shared" si="24"/>
        <v>0</v>
      </c>
      <c r="U101" s="235">
        <f t="shared" si="25"/>
        <v>0</v>
      </c>
      <c r="V101" s="235">
        <f t="shared" si="26"/>
        <v>0</v>
      </c>
      <c r="W101" s="237" t="str">
        <f t="shared" si="27"/>
        <v>海天牌海天招牌黄豆酱</v>
      </c>
      <c r="X101" s="238" t="s">
        <v>1360</v>
      </c>
      <c r="Y101" s="259" t="s">
        <v>1182</v>
      </c>
      <c r="Z101" s="260" t="s">
        <v>1361</v>
      </c>
      <c r="AA101" s="261">
        <v>0.367</v>
      </c>
      <c r="AB101" s="261">
        <v>0.224</v>
      </c>
      <c r="AC101" s="261">
        <v>0.109</v>
      </c>
      <c r="AD101" s="262">
        <f t="shared" si="28"/>
        <v>0</v>
      </c>
      <c r="AE101" s="262">
        <f t="shared" si="29"/>
        <v>0</v>
      </c>
      <c r="AF101" s="263">
        <f t="shared" si="30"/>
        <v>0</v>
      </c>
      <c r="AG101" s="278" t="s">
        <v>1362</v>
      </c>
      <c r="AH101" s="278" t="s">
        <v>1185</v>
      </c>
      <c r="AI101" s="244">
        <f t="shared" si="31"/>
        <v>0</v>
      </c>
      <c r="AJ101" s="244">
        <f t="shared" si="32"/>
        <v>0</v>
      </c>
      <c r="AK101" s="244">
        <f t="shared" si="17"/>
        <v>0</v>
      </c>
      <c r="AL101" s="286" t="s">
        <v>1387</v>
      </c>
      <c r="AM101" s="141"/>
      <c r="AN101" s="141"/>
      <c r="AO101" s="141"/>
      <c r="AP101" s="141"/>
      <c r="AQ101" s="141"/>
      <c r="AR101" s="141"/>
      <c r="AS101" s="141"/>
      <c r="AT101" s="141"/>
      <c r="AU101" s="141"/>
      <c r="AY101" s="305"/>
    </row>
    <row r="102" customHeight="1" spans="1:51">
      <c r="A102" s="162" t="str">
        <f t="shared" si="18"/>
        <v/>
      </c>
      <c r="B102" s="171"/>
      <c r="C102" s="165" t="str">
        <f>IFERROR(RANK(A102,$A$12:$A$125,0)+COUNTIFS(A$12:A102,A102)-1,"")</f>
        <v/>
      </c>
      <c r="D102" s="166" t="s">
        <v>1388</v>
      </c>
      <c r="E102" s="165" t="s">
        <v>917</v>
      </c>
      <c r="F102" s="167" t="s">
        <v>1381</v>
      </c>
      <c r="G102" s="167" t="s">
        <v>1383</v>
      </c>
      <c r="H102" s="168" t="s">
        <v>1384</v>
      </c>
      <c r="I102" s="203" t="s">
        <v>1389</v>
      </c>
      <c r="J102" s="203" t="s">
        <v>1390</v>
      </c>
      <c r="K102" s="203">
        <v>253300</v>
      </c>
      <c r="L102" s="204"/>
      <c r="M102" s="204"/>
      <c r="N102" s="204">
        <f t="shared" si="19"/>
        <v>0</v>
      </c>
      <c r="O102" s="204" t="e">
        <f t="shared" si="20"/>
        <v>#DIV/0!</v>
      </c>
      <c r="P102" s="207">
        <f t="shared" si="21"/>
        <v>0</v>
      </c>
      <c r="Q102" s="234">
        <f t="shared" si="22"/>
        <v>0</v>
      </c>
      <c r="R102" s="235">
        <f t="shared" si="23"/>
        <v>0</v>
      </c>
      <c r="S102" s="236">
        <v>0.08</v>
      </c>
      <c r="T102" s="235">
        <f t="shared" si="24"/>
        <v>0</v>
      </c>
      <c r="U102" s="235">
        <f t="shared" si="25"/>
        <v>0</v>
      </c>
      <c r="V102" s="235">
        <f t="shared" si="26"/>
        <v>0</v>
      </c>
      <c r="W102" s="237" t="str">
        <f t="shared" si="27"/>
        <v>海天牌海天招牌黄豆酱</v>
      </c>
      <c r="X102" s="238" t="s">
        <v>1360</v>
      </c>
      <c r="Y102" s="259" t="s">
        <v>1182</v>
      </c>
      <c r="Z102" s="260" t="s">
        <v>1361</v>
      </c>
      <c r="AA102" s="261">
        <v>0.363</v>
      </c>
      <c r="AB102" s="261">
        <v>0.215</v>
      </c>
      <c r="AC102" s="261">
        <v>0.093</v>
      </c>
      <c r="AD102" s="262">
        <f t="shared" si="28"/>
        <v>0</v>
      </c>
      <c r="AE102" s="262">
        <f t="shared" si="29"/>
        <v>0</v>
      </c>
      <c r="AF102" s="263">
        <f t="shared" si="30"/>
        <v>0</v>
      </c>
      <c r="AG102" s="278" t="s">
        <v>1391</v>
      </c>
      <c r="AH102" s="278" t="s">
        <v>1185</v>
      </c>
      <c r="AI102" s="244">
        <f t="shared" si="31"/>
        <v>0</v>
      </c>
      <c r="AJ102" s="244">
        <f t="shared" si="32"/>
        <v>0</v>
      </c>
      <c r="AK102" s="244">
        <f t="shared" si="17"/>
        <v>0</v>
      </c>
      <c r="AL102" s="286"/>
      <c r="AM102" s="141"/>
      <c r="AN102" s="141"/>
      <c r="AO102" s="141"/>
      <c r="AP102" s="141"/>
      <c r="AQ102" s="141"/>
      <c r="AR102" s="141"/>
      <c r="AS102" s="141"/>
      <c r="AT102" s="141"/>
      <c r="AU102" s="141"/>
      <c r="AY102" s="305"/>
    </row>
    <row r="103" customHeight="1" spans="1:51">
      <c r="A103" s="162" t="str">
        <f t="shared" si="18"/>
        <v/>
      </c>
      <c r="B103" s="171"/>
      <c r="C103" s="165" t="str">
        <f>IFERROR(RANK(A103,$A$12:$A$125,0)+COUNTIFS(A$12:A103,A103)-1,"")</f>
        <v/>
      </c>
      <c r="D103" s="166" t="s">
        <v>1392</v>
      </c>
      <c r="E103" s="165" t="s">
        <v>917</v>
      </c>
      <c r="F103" s="167" t="str">
        <f>F101</f>
        <v>海天招牌黄豆酱</v>
      </c>
      <c r="G103" s="167" t="s">
        <v>1393</v>
      </c>
      <c r="H103" s="168" t="s">
        <v>1394</v>
      </c>
      <c r="I103" s="203" t="s">
        <v>1395</v>
      </c>
      <c r="J103" s="203" t="s">
        <v>1396</v>
      </c>
      <c r="K103" s="203">
        <v>301300</v>
      </c>
      <c r="L103" s="204"/>
      <c r="M103" s="204"/>
      <c r="N103" s="204">
        <f t="shared" si="19"/>
        <v>0</v>
      </c>
      <c r="O103" s="204" t="e">
        <f t="shared" si="20"/>
        <v>#DIV/0!</v>
      </c>
      <c r="P103" s="207">
        <f t="shared" si="21"/>
        <v>0</v>
      </c>
      <c r="Q103" s="234">
        <f t="shared" si="22"/>
        <v>0</v>
      </c>
      <c r="R103" s="235">
        <f t="shared" si="23"/>
        <v>0</v>
      </c>
      <c r="S103" s="236">
        <v>0.08</v>
      </c>
      <c r="T103" s="235">
        <f t="shared" si="24"/>
        <v>0</v>
      </c>
      <c r="U103" s="235">
        <f t="shared" si="25"/>
        <v>0</v>
      </c>
      <c r="V103" s="235">
        <f t="shared" si="26"/>
        <v>0</v>
      </c>
      <c r="W103" s="237" t="str">
        <f t="shared" si="27"/>
        <v>海天牌海天招牌黄豆酱</v>
      </c>
      <c r="X103" s="238" t="s">
        <v>1368</v>
      </c>
      <c r="Y103" s="259" t="s">
        <v>1199</v>
      </c>
      <c r="Z103" s="260" t="s">
        <v>1370</v>
      </c>
      <c r="AA103" s="261">
        <v>0.363</v>
      </c>
      <c r="AB103" s="261">
        <v>0.215</v>
      </c>
      <c r="AC103" s="261">
        <v>0.134</v>
      </c>
      <c r="AD103" s="262">
        <f t="shared" si="28"/>
        <v>0</v>
      </c>
      <c r="AE103" s="262">
        <f t="shared" si="29"/>
        <v>0</v>
      </c>
      <c r="AF103" s="263">
        <f t="shared" si="30"/>
        <v>0</v>
      </c>
      <c r="AG103" s="278" t="s">
        <v>1184</v>
      </c>
      <c r="AH103" s="278" t="s">
        <v>848</v>
      </c>
      <c r="AI103" s="244">
        <f t="shared" si="31"/>
        <v>0</v>
      </c>
      <c r="AJ103" s="244">
        <f t="shared" si="32"/>
        <v>0</v>
      </c>
      <c r="AK103" s="244">
        <f t="shared" si="17"/>
        <v>0</v>
      </c>
      <c r="AL103" s="286" t="s">
        <v>1397</v>
      </c>
      <c r="AM103" s="141"/>
      <c r="AN103" s="141"/>
      <c r="AO103" s="141"/>
      <c r="AP103" s="141"/>
      <c r="AQ103" s="141"/>
      <c r="AR103" s="141"/>
      <c r="AS103" s="141"/>
      <c r="AT103" s="141"/>
      <c r="AU103" s="141"/>
      <c r="AY103" s="305"/>
    </row>
    <row r="104" s="133" customFormat="1" customHeight="1" spans="1:47">
      <c r="A104" s="162" t="str">
        <f t="shared" si="18"/>
        <v/>
      </c>
      <c r="B104" s="172"/>
      <c r="C104" s="165" t="str">
        <f>IFERROR(RANK(A104,$A$12:$A$125,0)+COUNTIFS(A$12:A104,A104)-1,"")</f>
        <v/>
      </c>
      <c r="D104" s="173" t="s">
        <v>1398</v>
      </c>
      <c r="E104" s="174" t="s">
        <v>820</v>
      </c>
      <c r="F104" s="175" t="str">
        <f>F103</f>
        <v>海天招牌黄豆酱</v>
      </c>
      <c r="G104" s="175" t="s">
        <v>1393</v>
      </c>
      <c r="H104" s="176" t="s">
        <v>1394</v>
      </c>
      <c r="I104" s="203" t="s">
        <v>1399</v>
      </c>
      <c r="J104" s="208" t="s">
        <v>1396</v>
      </c>
      <c r="K104" s="208">
        <v>301300</v>
      </c>
      <c r="L104" s="209"/>
      <c r="M104" s="209"/>
      <c r="N104" s="209">
        <f t="shared" si="19"/>
        <v>0</v>
      </c>
      <c r="O104" s="209" t="e">
        <f t="shared" si="20"/>
        <v>#DIV/0!</v>
      </c>
      <c r="P104" s="212">
        <f t="shared" si="21"/>
        <v>0</v>
      </c>
      <c r="Q104" s="239">
        <f t="shared" si="22"/>
        <v>0</v>
      </c>
      <c r="R104" s="240">
        <f t="shared" si="23"/>
        <v>0</v>
      </c>
      <c r="S104" s="241">
        <v>0.08</v>
      </c>
      <c r="T104" s="240">
        <f t="shared" si="24"/>
        <v>0</v>
      </c>
      <c r="U104" s="240">
        <f t="shared" si="25"/>
        <v>0</v>
      </c>
      <c r="V104" s="240">
        <f t="shared" si="26"/>
        <v>0</v>
      </c>
      <c r="W104" s="242" t="str">
        <f t="shared" si="27"/>
        <v>海天牌海天招牌黄豆酱</v>
      </c>
      <c r="X104" s="243" t="s">
        <v>1368</v>
      </c>
      <c r="Y104" s="264" t="s">
        <v>1199</v>
      </c>
      <c r="Z104" s="265" t="s">
        <v>1370</v>
      </c>
      <c r="AA104" s="266">
        <v>0.367</v>
      </c>
      <c r="AB104" s="266">
        <v>0.224</v>
      </c>
      <c r="AC104" s="266">
        <v>0.149</v>
      </c>
      <c r="AD104" s="267">
        <f t="shared" si="28"/>
        <v>0</v>
      </c>
      <c r="AE104" s="267">
        <f t="shared" si="29"/>
        <v>0</v>
      </c>
      <c r="AF104" s="268">
        <f t="shared" si="30"/>
        <v>0</v>
      </c>
      <c r="AG104" s="278" t="s">
        <v>1371</v>
      </c>
      <c r="AH104" s="278" t="s">
        <v>848</v>
      </c>
      <c r="AI104" s="244">
        <f t="shared" si="31"/>
        <v>0</v>
      </c>
      <c r="AJ104" s="244">
        <f t="shared" si="32"/>
        <v>0</v>
      </c>
      <c r="AK104" s="244">
        <f t="shared" si="17"/>
        <v>0</v>
      </c>
      <c r="AL104" s="327"/>
      <c r="AM104" s="280"/>
      <c r="AN104" s="280"/>
      <c r="AO104" s="280"/>
      <c r="AP104" s="280"/>
      <c r="AQ104" s="280"/>
      <c r="AR104" s="280"/>
      <c r="AS104" s="280"/>
      <c r="AT104" s="280"/>
      <c r="AU104" s="280"/>
    </row>
    <row r="105" s="133" customFormat="1" customHeight="1" spans="1:47">
      <c r="A105" s="162" t="str">
        <f t="shared" si="18"/>
        <v/>
      </c>
      <c r="B105" s="172"/>
      <c r="C105" s="165" t="str">
        <f>IFERROR(RANK(A105,$A$12:$A$125,0)+COUNTIFS(A$12:A105,A105)-1,"")</f>
        <v/>
      </c>
      <c r="D105" s="173" t="s">
        <v>1400</v>
      </c>
      <c r="E105" s="174" t="s">
        <v>820</v>
      </c>
      <c r="F105" s="175" t="str">
        <f>F103</f>
        <v>海天招牌黄豆酱</v>
      </c>
      <c r="G105" s="175" t="s">
        <v>1401</v>
      </c>
      <c r="H105" s="176" t="s">
        <v>1402</v>
      </c>
      <c r="I105" s="203" t="s">
        <v>1403</v>
      </c>
      <c r="J105" s="208" t="s">
        <v>1404</v>
      </c>
      <c r="K105" s="208">
        <v>239900</v>
      </c>
      <c r="L105" s="209"/>
      <c r="M105" s="209"/>
      <c r="N105" s="209">
        <f t="shared" si="19"/>
        <v>0</v>
      </c>
      <c r="O105" s="209" t="e">
        <f t="shared" si="20"/>
        <v>#DIV/0!</v>
      </c>
      <c r="P105" s="212">
        <f t="shared" si="21"/>
        <v>0</v>
      </c>
      <c r="Q105" s="239">
        <f t="shared" si="22"/>
        <v>0</v>
      </c>
      <c r="R105" s="240">
        <f t="shared" si="23"/>
        <v>0</v>
      </c>
      <c r="S105" s="241">
        <v>0.08</v>
      </c>
      <c r="T105" s="240">
        <f t="shared" si="24"/>
        <v>0</v>
      </c>
      <c r="U105" s="240">
        <f t="shared" si="25"/>
        <v>0</v>
      </c>
      <c r="V105" s="240">
        <f t="shared" si="26"/>
        <v>0</v>
      </c>
      <c r="W105" s="242" t="str">
        <f t="shared" si="27"/>
        <v>海天牌海天招牌黄豆酱</v>
      </c>
      <c r="X105" s="243" t="s">
        <v>1378</v>
      </c>
      <c r="Y105" s="264" t="s">
        <v>1379</v>
      </c>
      <c r="Z105" s="265" t="s">
        <v>1159</v>
      </c>
      <c r="AA105" s="266">
        <v>0.3</v>
      </c>
      <c r="AB105" s="266">
        <v>0.205</v>
      </c>
      <c r="AC105" s="266">
        <v>0.175</v>
      </c>
      <c r="AD105" s="267">
        <f t="shared" si="28"/>
        <v>0</v>
      </c>
      <c r="AE105" s="267">
        <f t="shared" si="29"/>
        <v>0</v>
      </c>
      <c r="AF105" s="268">
        <f t="shared" si="30"/>
        <v>0</v>
      </c>
      <c r="AG105" s="278" t="s">
        <v>1405</v>
      </c>
      <c r="AH105" s="278" t="s">
        <v>1380</v>
      </c>
      <c r="AI105" s="244">
        <f t="shared" si="31"/>
        <v>0</v>
      </c>
      <c r="AJ105" s="244">
        <f t="shared" si="32"/>
        <v>0</v>
      </c>
      <c r="AK105" s="244">
        <f t="shared" si="17"/>
        <v>0</v>
      </c>
      <c r="AL105" s="327" t="s">
        <v>1406</v>
      </c>
      <c r="AM105" s="280"/>
      <c r="AN105" s="280"/>
      <c r="AO105" s="280"/>
      <c r="AP105" s="280"/>
      <c r="AQ105" s="280"/>
      <c r="AR105" s="280"/>
      <c r="AS105" s="280"/>
      <c r="AT105" s="280"/>
      <c r="AU105" s="280"/>
    </row>
    <row r="106" customHeight="1" spans="1:47">
      <c r="A106" s="162" t="str">
        <f t="shared" si="18"/>
        <v/>
      </c>
      <c r="B106" s="169"/>
      <c r="C106" s="165" t="str">
        <f>IFERROR(RANK(A106,$A$12:$A$125,0)+COUNTIFS(A$12:A106,A106)-1,"")</f>
        <v/>
      </c>
      <c r="D106" s="166" t="s">
        <v>1407</v>
      </c>
      <c r="E106" s="165" t="s">
        <v>917</v>
      </c>
      <c r="F106" s="167" t="str">
        <f>F104</f>
        <v>海天招牌黄豆酱</v>
      </c>
      <c r="G106" s="167" t="s">
        <v>1401</v>
      </c>
      <c r="H106" s="168" t="s">
        <v>1402</v>
      </c>
      <c r="I106" s="203" t="s">
        <v>1408</v>
      </c>
      <c r="J106" s="203" t="s">
        <v>1404</v>
      </c>
      <c r="K106" s="203">
        <v>239900</v>
      </c>
      <c r="L106" s="204"/>
      <c r="M106" s="204"/>
      <c r="N106" s="204">
        <f t="shared" si="19"/>
        <v>0</v>
      </c>
      <c r="O106" s="204" t="e">
        <f t="shared" si="20"/>
        <v>#DIV/0!</v>
      </c>
      <c r="P106" s="207">
        <f t="shared" si="21"/>
        <v>0</v>
      </c>
      <c r="Q106" s="234">
        <f t="shared" si="22"/>
        <v>0</v>
      </c>
      <c r="R106" s="235">
        <f t="shared" si="23"/>
        <v>0</v>
      </c>
      <c r="S106" s="236">
        <v>0.08</v>
      </c>
      <c r="T106" s="235">
        <f t="shared" si="24"/>
        <v>0</v>
      </c>
      <c r="U106" s="235">
        <f t="shared" si="25"/>
        <v>0</v>
      </c>
      <c r="V106" s="235">
        <f t="shared" si="26"/>
        <v>0</v>
      </c>
      <c r="W106" s="237" t="str">
        <f t="shared" si="27"/>
        <v>海天牌海天招牌黄豆酱</v>
      </c>
      <c r="X106" s="238" t="s">
        <v>1378</v>
      </c>
      <c r="Y106" s="259" t="s">
        <v>1379</v>
      </c>
      <c r="Z106" s="260" t="s">
        <v>1159</v>
      </c>
      <c r="AA106" s="261">
        <v>0.296</v>
      </c>
      <c r="AB106" s="261">
        <v>0.193</v>
      </c>
      <c r="AC106" s="261">
        <v>0.161</v>
      </c>
      <c r="AD106" s="262">
        <f t="shared" si="28"/>
        <v>0</v>
      </c>
      <c r="AE106" s="262">
        <f t="shared" si="29"/>
        <v>0</v>
      </c>
      <c r="AF106" s="263">
        <f t="shared" si="30"/>
        <v>0</v>
      </c>
      <c r="AG106" s="278" t="s">
        <v>1362</v>
      </c>
      <c r="AH106" s="278" t="s">
        <v>1380</v>
      </c>
      <c r="AI106" s="244">
        <f t="shared" si="31"/>
        <v>0</v>
      </c>
      <c r="AJ106" s="244">
        <f t="shared" si="32"/>
        <v>0</v>
      </c>
      <c r="AK106" s="244">
        <f t="shared" si="17"/>
        <v>0</v>
      </c>
      <c r="AL106" s="286"/>
      <c r="AM106" s="141"/>
      <c r="AN106" s="141"/>
      <c r="AO106" s="141"/>
      <c r="AP106" s="141"/>
      <c r="AQ106" s="141"/>
      <c r="AR106" s="141"/>
      <c r="AS106" s="141"/>
      <c r="AT106" s="141"/>
      <c r="AU106" s="141"/>
    </row>
    <row r="107" customHeight="1" spans="1:47">
      <c r="A107" s="162" t="str">
        <f t="shared" si="18"/>
        <v/>
      </c>
      <c r="B107" s="165" t="s">
        <v>1409</v>
      </c>
      <c r="C107" s="165" t="str">
        <f>IFERROR(RANK(A107,$A$12:$A$125,0)+COUNTIFS(A$12:A107,A107)-1,"")</f>
        <v/>
      </c>
      <c r="D107" s="166" t="s">
        <v>1410</v>
      </c>
      <c r="E107" s="165" t="s">
        <v>820</v>
      </c>
      <c r="F107" s="167" t="s">
        <v>1409</v>
      </c>
      <c r="G107" s="167" t="s">
        <v>1411</v>
      </c>
      <c r="H107" s="168" t="s">
        <v>1412</v>
      </c>
      <c r="I107" s="203" t="s">
        <v>1413</v>
      </c>
      <c r="J107" s="203" t="s">
        <v>1414</v>
      </c>
      <c r="K107" s="203">
        <v>349200</v>
      </c>
      <c r="L107" s="204"/>
      <c r="M107" s="204"/>
      <c r="N107" s="204">
        <f t="shared" si="19"/>
        <v>0</v>
      </c>
      <c r="O107" s="206" t="e">
        <f t="shared" si="20"/>
        <v>#DIV/0!</v>
      </c>
      <c r="P107" s="207">
        <f t="shared" si="21"/>
        <v>0</v>
      </c>
      <c r="Q107" s="234">
        <f t="shared" si="22"/>
        <v>0</v>
      </c>
      <c r="R107" s="235">
        <f t="shared" si="23"/>
        <v>0</v>
      </c>
      <c r="S107" s="236">
        <v>0.08</v>
      </c>
      <c r="T107" s="235">
        <f t="shared" si="24"/>
        <v>0</v>
      </c>
      <c r="U107" s="235">
        <f t="shared" si="25"/>
        <v>0</v>
      </c>
      <c r="V107" s="235">
        <f t="shared" si="26"/>
        <v>0</v>
      </c>
      <c r="W107" s="237" t="str">
        <f t="shared" si="27"/>
        <v>海天牌0黄豆酱</v>
      </c>
      <c r="X107" s="238" t="s">
        <v>1415</v>
      </c>
      <c r="Y107" s="259" t="s">
        <v>1416</v>
      </c>
      <c r="Z107" s="260" t="s">
        <v>827</v>
      </c>
      <c r="AA107" s="261">
        <v>0.389</v>
      </c>
      <c r="AB107" s="261">
        <v>0.229</v>
      </c>
      <c r="AC107" s="261">
        <v>0.151</v>
      </c>
      <c r="AD107" s="262">
        <f t="shared" si="28"/>
        <v>0</v>
      </c>
      <c r="AE107" s="262">
        <f t="shared" si="29"/>
        <v>0</v>
      </c>
      <c r="AF107" s="263">
        <f t="shared" si="30"/>
        <v>0</v>
      </c>
      <c r="AG107" s="278" t="s">
        <v>1417</v>
      </c>
      <c r="AH107" s="278" t="s">
        <v>1118</v>
      </c>
      <c r="AI107" s="244">
        <f t="shared" si="31"/>
        <v>0</v>
      </c>
      <c r="AJ107" s="244">
        <f t="shared" si="32"/>
        <v>0</v>
      </c>
      <c r="AK107" s="244">
        <f t="shared" si="17"/>
        <v>0</v>
      </c>
      <c r="AL107" s="244"/>
      <c r="AM107" s="141"/>
      <c r="AN107" s="141"/>
      <c r="AO107" s="141"/>
      <c r="AP107" s="141"/>
      <c r="AQ107" s="141"/>
      <c r="AR107" s="141"/>
      <c r="AS107" s="141"/>
      <c r="AT107" s="141"/>
      <c r="AU107" s="141"/>
    </row>
    <row r="108" customHeight="1" spans="1:47">
      <c r="A108" s="162" t="str">
        <f t="shared" si="18"/>
        <v/>
      </c>
      <c r="B108" s="165"/>
      <c r="C108" s="165" t="str">
        <f>IFERROR(RANK(A108,$A$12:$A$125,0)+COUNTIFS(A$12:A108,A108)-1,"")</f>
        <v/>
      </c>
      <c r="D108" s="166" t="s">
        <v>1418</v>
      </c>
      <c r="E108" s="165" t="s">
        <v>820</v>
      </c>
      <c r="F108" s="167" t="str">
        <f>F107</f>
        <v>0黄豆酱</v>
      </c>
      <c r="G108" s="167" t="s">
        <v>1419</v>
      </c>
      <c r="H108" s="168" t="s">
        <v>1420</v>
      </c>
      <c r="I108" s="203" t="s">
        <v>1421</v>
      </c>
      <c r="J108" s="203" t="s">
        <v>1422</v>
      </c>
      <c r="K108" s="203">
        <v>271900</v>
      </c>
      <c r="L108" s="204"/>
      <c r="M108" s="204"/>
      <c r="N108" s="204">
        <f t="shared" si="19"/>
        <v>0</v>
      </c>
      <c r="O108" s="206" t="e">
        <f t="shared" si="20"/>
        <v>#DIV/0!</v>
      </c>
      <c r="P108" s="207">
        <f t="shared" si="21"/>
        <v>0</v>
      </c>
      <c r="Q108" s="234">
        <f t="shared" si="22"/>
        <v>0</v>
      </c>
      <c r="R108" s="235">
        <f t="shared" si="23"/>
        <v>0</v>
      </c>
      <c r="S108" s="236">
        <v>0.08</v>
      </c>
      <c r="T108" s="235">
        <f t="shared" si="24"/>
        <v>0</v>
      </c>
      <c r="U108" s="235">
        <f t="shared" si="25"/>
        <v>0</v>
      </c>
      <c r="V108" s="235">
        <f t="shared" si="26"/>
        <v>0</v>
      </c>
      <c r="W108" s="237" t="str">
        <f t="shared" si="27"/>
        <v>海天牌0黄豆酱</v>
      </c>
      <c r="X108" s="238" t="s">
        <v>1378</v>
      </c>
      <c r="Y108" s="259" t="s">
        <v>1379</v>
      </c>
      <c r="Z108" s="260" t="s">
        <v>1159</v>
      </c>
      <c r="AA108" s="261">
        <v>0.3</v>
      </c>
      <c r="AB108" s="261">
        <v>0.205</v>
      </c>
      <c r="AC108" s="261">
        <v>0.18</v>
      </c>
      <c r="AD108" s="262">
        <f t="shared" si="28"/>
        <v>0</v>
      </c>
      <c r="AE108" s="262">
        <f t="shared" si="29"/>
        <v>0</v>
      </c>
      <c r="AF108" s="263">
        <f t="shared" si="30"/>
        <v>0</v>
      </c>
      <c r="AG108" s="278" t="s">
        <v>941</v>
      </c>
      <c r="AH108" s="278" t="s">
        <v>1380</v>
      </c>
      <c r="AI108" s="244">
        <f t="shared" si="31"/>
        <v>0</v>
      </c>
      <c r="AJ108" s="244">
        <f t="shared" si="32"/>
        <v>0</v>
      </c>
      <c r="AK108" s="244">
        <f t="shared" si="17"/>
        <v>0</v>
      </c>
      <c r="AL108" s="244"/>
      <c r="AM108" s="141"/>
      <c r="AN108" s="141"/>
      <c r="AO108" s="141"/>
      <c r="AP108" s="141"/>
      <c r="AQ108" s="141"/>
      <c r="AR108" s="141"/>
      <c r="AS108" s="141"/>
      <c r="AT108" s="141"/>
      <c r="AU108" s="141"/>
    </row>
    <row r="109" customHeight="1" spans="1:47">
      <c r="A109" s="162" t="str">
        <f t="shared" si="18"/>
        <v/>
      </c>
      <c r="B109" s="169" t="s">
        <v>1423</v>
      </c>
      <c r="C109" s="165" t="str">
        <f>IFERROR(RANK(A109,$A$12:$A$125,0)+COUNTIFS(A$12:A109,A109)-1,"")</f>
        <v/>
      </c>
      <c r="D109" s="166" t="s">
        <v>1424</v>
      </c>
      <c r="E109" s="165" t="s">
        <v>820</v>
      </c>
      <c r="F109" s="167" t="s">
        <v>1423</v>
      </c>
      <c r="G109" s="167" t="s">
        <v>1425</v>
      </c>
      <c r="H109" s="167" t="s">
        <v>1426</v>
      </c>
      <c r="I109" s="203" t="s">
        <v>1427</v>
      </c>
      <c r="J109" s="203" t="s">
        <v>1428</v>
      </c>
      <c r="K109" s="203">
        <v>500000</v>
      </c>
      <c r="L109" s="204"/>
      <c r="M109" s="204"/>
      <c r="N109" s="204">
        <f t="shared" si="19"/>
        <v>0</v>
      </c>
      <c r="O109" s="206" t="e">
        <f t="shared" si="20"/>
        <v>#DIV/0!</v>
      </c>
      <c r="P109" s="207">
        <f t="shared" si="21"/>
        <v>0</v>
      </c>
      <c r="Q109" s="234">
        <f t="shared" si="22"/>
        <v>0</v>
      </c>
      <c r="R109" s="235">
        <f t="shared" si="23"/>
        <v>0</v>
      </c>
      <c r="S109" s="236">
        <v>0.08</v>
      </c>
      <c r="T109" s="235">
        <f t="shared" si="24"/>
        <v>0</v>
      </c>
      <c r="U109" s="235">
        <f t="shared" si="25"/>
        <v>0</v>
      </c>
      <c r="V109" s="235">
        <f t="shared" si="26"/>
        <v>0</v>
      </c>
      <c r="W109" s="237" t="str">
        <f t="shared" si="27"/>
        <v>海天牌海鲜酱</v>
      </c>
      <c r="X109" s="238" t="s">
        <v>1429</v>
      </c>
      <c r="Y109" s="259" t="s">
        <v>837</v>
      </c>
      <c r="Z109" s="260" t="s">
        <v>838</v>
      </c>
      <c r="AA109" s="261">
        <v>0.369</v>
      </c>
      <c r="AB109" s="261">
        <v>0.191</v>
      </c>
      <c r="AC109" s="261">
        <v>0.292</v>
      </c>
      <c r="AD109" s="262">
        <f t="shared" si="28"/>
        <v>0</v>
      </c>
      <c r="AE109" s="262">
        <f t="shared" si="29"/>
        <v>0</v>
      </c>
      <c r="AF109" s="263">
        <f t="shared" si="30"/>
        <v>0</v>
      </c>
      <c r="AG109" s="278" t="s">
        <v>894</v>
      </c>
      <c r="AH109" s="278" t="s">
        <v>840</v>
      </c>
      <c r="AI109" s="244">
        <f t="shared" si="31"/>
        <v>0</v>
      </c>
      <c r="AJ109" s="244">
        <f t="shared" si="32"/>
        <v>0</v>
      </c>
      <c r="AK109" s="244">
        <f t="shared" si="17"/>
        <v>0</v>
      </c>
      <c r="AL109" s="244"/>
      <c r="AM109" s="141"/>
      <c r="AN109" s="141"/>
      <c r="AO109" s="141"/>
      <c r="AP109" s="141"/>
      <c r="AQ109" s="141"/>
      <c r="AR109" s="141"/>
      <c r="AS109" s="141"/>
      <c r="AT109" s="141"/>
      <c r="AU109" s="141"/>
    </row>
    <row r="110" customHeight="1" spans="1:47">
      <c r="A110" s="162">
        <f t="shared" si="18"/>
        <v>1</v>
      </c>
      <c r="B110" s="169" t="s">
        <v>1430</v>
      </c>
      <c r="C110" s="165">
        <f>IFERROR(RANK(A110,$A$12:$A$125,0)+COUNTIFS(A$12:A110,A110)-1,"")</f>
        <v>1</v>
      </c>
      <c r="D110" s="166" t="s">
        <v>1431</v>
      </c>
      <c r="E110" s="165" t="s">
        <v>917</v>
      </c>
      <c r="F110" s="167" t="s">
        <v>1430</v>
      </c>
      <c r="G110" s="167" t="s">
        <v>1432</v>
      </c>
      <c r="H110" s="167" t="s">
        <v>1433</v>
      </c>
      <c r="I110" s="203" t="s">
        <v>1434</v>
      </c>
      <c r="J110" s="203" t="s">
        <v>1435</v>
      </c>
      <c r="K110" s="203">
        <v>476800</v>
      </c>
      <c r="L110" s="204">
        <v>14</v>
      </c>
      <c r="M110" s="204">
        <v>4</v>
      </c>
      <c r="N110" s="204">
        <f t="shared" si="19"/>
        <v>18</v>
      </c>
      <c r="O110" s="206" t="str">
        <f t="shared" si="20"/>
        <v>大于8送1</v>
      </c>
      <c r="P110" s="206">
        <f t="shared" si="21"/>
        <v>6675200</v>
      </c>
      <c r="Q110" s="319">
        <f t="shared" si="22"/>
        <v>1907200</v>
      </c>
      <c r="R110" s="320">
        <f t="shared" si="23"/>
        <v>8582400</v>
      </c>
      <c r="S110" s="236">
        <v>0.08</v>
      </c>
      <c r="T110" s="320">
        <f t="shared" si="24"/>
        <v>7209216</v>
      </c>
      <c r="U110" s="320">
        <f t="shared" si="25"/>
        <v>2059776</v>
      </c>
      <c r="V110" s="320">
        <f t="shared" si="26"/>
        <v>9268992</v>
      </c>
      <c r="W110" s="237" t="str">
        <f t="shared" si="27"/>
        <v>海天牌香菇酱</v>
      </c>
      <c r="X110" s="238" t="s">
        <v>1436</v>
      </c>
      <c r="Y110" s="259" t="s">
        <v>939</v>
      </c>
      <c r="Z110" s="260" t="s">
        <v>1437</v>
      </c>
      <c r="AA110" s="261">
        <v>0.363</v>
      </c>
      <c r="AB110" s="261">
        <v>0.215</v>
      </c>
      <c r="AC110" s="261">
        <v>0.134</v>
      </c>
      <c r="AD110" s="165">
        <f t="shared" si="28"/>
        <v>140.4</v>
      </c>
      <c r="AE110" s="165">
        <f t="shared" si="29"/>
        <v>81</v>
      </c>
      <c r="AF110" s="323">
        <f t="shared" si="30"/>
        <v>0.19</v>
      </c>
      <c r="AG110" s="278" t="s">
        <v>906</v>
      </c>
      <c r="AH110" s="278" t="s">
        <v>942</v>
      </c>
      <c r="AI110" s="244">
        <f t="shared" si="31"/>
        <v>0.00674157303370787</v>
      </c>
      <c r="AJ110" s="244">
        <f t="shared" si="32"/>
        <v>0</v>
      </c>
      <c r="AK110" s="244">
        <f t="shared" si="17"/>
        <v>0.00501392757660167</v>
      </c>
      <c r="AL110" s="141"/>
      <c r="AM110" s="141"/>
      <c r="AN110" s="141"/>
      <c r="AO110" s="141"/>
      <c r="AP110" s="141"/>
      <c r="AQ110" s="141"/>
      <c r="AR110" s="141"/>
      <c r="AS110" s="141"/>
      <c r="AT110" s="141"/>
      <c r="AU110" s="141"/>
    </row>
    <row r="111" customHeight="1" spans="1:47">
      <c r="A111" s="162" t="str">
        <f t="shared" si="18"/>
        <v/>
      </c>
      <c r="B111" s="169" t="s">
        <v>1430</v>
      </c>
      <c r="C111" s="165" t="str">
        <f>IFERROR(RANK(A111,$A$12:$A$125,0)+COUNTIFS(A$12:A111,A111)-1,"")</f>
        <v/>
      </c>
      <c r="D111" s="166" t="s">
        <v>1438</v>
      </c>
      <c r="E111" s="165" t="s">
        <v>917</v>
      </c>
      <c r="F111" s="167" t="s">
        <v>1430</v>
      </c>
      <c r="G111" s="167" t="s">
        <v>1439</v>
      </c>
      <c r="H111" s="167" t="s">
        <v>1440</v>
      </c>
      <c r="I111" s="203" t="s">
        <v>1441</v>
      </c>
      <c r="J111" s="215" t="s">
        <v>1442</v>
      </c>
      <c r="K111" s="203">
        <v>313600</v>
      </c>
      <c r="L111" s="204"/>
      <c r="M111" s="204"/>
      <c r="N111" s="204">
        <f t="shared" si="19"/>
        <v>0</v>
      </c>
      <c r="O111" s="206" t="e">
        <f t="shared" si="20"/>
        <v>#DIV/0!</v>
      </c>
      <c r="P111" s="206">
        <f t="shared" si="21"/>
        <v>0</v>
      </c>
      <c r="Q111" s="319">
        <f t="shared" si="22"/>
        <v>0</v>
      </c>
      <c r="R111" s="320">
        <f t="shared" si="23"/>
        <v>0</v>
      </c>
      <c r="S111" s="236">
        <v>0.08</v>
      </c>
      <c r="T111" s="320">
        <f t="shared" si="24"/>
        <v>0</v>
      </c>
      <c r="U111" s="320">
        <f t="shared" si="25"/>
        <v>0</v>
      </c>
      <c r="V111" s="320">
        <f t="shared" si="26"/>
        <v>0</v>
      </c>
      <c r="W111" s="237" t="str">
        <f t="shared" si="27"/>
        <v>海天牌香菇酱</v>
      </c>
      <c r="X111" s="238" t="s">
        <v>1443</v>
      </c>
      <c r="Y111" s="259">
        <v>3.7</v>
      </c>
      <c r="Z111" s="260">
        <v>2.88</v>
      </c>
      <c r="AA111" s="261">
        <v>0.353</v>
      </c>
      <c r="AB111" s="261">
        <v>0.285</v>
      </c>
      <c r="AC111" s="261">
        <v>0.1</v>
      </c>
      <c r="AD111" s="165">
        <f t="shared" si="28"/>
        <v>0</v>
      </c>
      <c r="AE111" s="165">
        <f t="shared" si="29"/>
        <v>0</v>
      </c>
      <c r="AF111" s="323">
        <f t="shared" si="30"/>
        <v>0</v>
      </c>
      <c r="AG111" s="278" t="s">
        <v>1444</v>
      </c>
      <c r="AH111" s="278" t="s">
        <v>1445</v>
      </c>
      <c r="AI111" s="244">
        <f t="shared" si="31"/>
        <v>0</v>
      </c>
      <c r="AJ111" s="244">
        <f t="shared" si="32"/>
        <v>0</v>
      </c>
      <c r="AK111" s="244">
        <f t="shared" si="17"/>
        <v>0</v>
      </c>
      <c r="AL111" s="141"/>
      <c r="AM111" s="141"/>
      <c r="AN111" s="141"/>
      <c r="AO111" s="141"/>
      <c r="AP111" s="141"/>
      <c r="AQ111" s="141"/>
      <c r="AR111" s="141"/>
      <c r="AS111" s="141"/>
      <c r="AT111" s="141"/>
      <c r="AU111" s="141"/>
    </row>
    <row r="112" customHeight="1" spans="1:51">
      <c r="A112" s="162">
        <f t="shared" si="18"/>
        <v>1</v>
      </c>
      <c r="B112" s="165" t="s">
        <v>1446</v>
      </c>
      <c r="C112" s="165">
        <f>IFERROR(RANK(A112,$A$12:$A$125,0)+COUNTIFS(A$12:A112,A112)-1,"")</f>
        <v>2</v>
      </c>
      <c r="D112" s="166" t="s">
        <v>1447</v>
      </c>
      <c r="E112" s="165" t="s">
        <v>820</v>
      </c>
      <c r="F112" s="167" t="s">
        <v>1446</v>
      </c>
      <c r="G112" s="167" t="s">
        <v>1448</v>
      </c>
      <c r="H112" s="168" t="s">
        <v>1449</v>
      </c>
      <c r="I112" s="203" t="s">
        <v>1450</v>
      </c>
      <c r="J112" s="203" t="s">
        <v>1451</v>
      </c>
      <c r="K112" s="203">
        <v>546500</v>
      </c>
      <c r="L112" s="204">
        <v>13</v>
      </c>
      <c r="M112" s="204">
        <v>1</v>
      </c>
      <c r="N112" s="204">
        <f t="shared" si="19"/>
        <v>14</v>
      </c>
      <c r="O112" s="206" t="str">
        <f t="shared" si="20"/>
        <v>小于10送1</v>
      </c>
      <c r="P112" s="207">
        <f t="shared" si="21"/>
        <v>7104500</v>
      </c>
      <c r="Q112" s="234">
        <f t="shared" si="22"/>
        <v>546500</v>
      </c>
      <c r="R112" s="235">
        <f t="shared" si="23"/>
        <v>7651000</v>
      </c>
      <c r="S112" s="236">
        <v>0.08</v>
      </c>
      <c r="T112" s="235">
        <f t="shared" si="24"/>
        <v>7672860</v>
      </c>
      <c r="U112" s="235">
        <f t="shared" si="25"/>
        <v>590220</v>
      </c>
      <c r="V112" s="235">
        <f t="shared" si="26"/>
        <v>8263080</v>
      </c>
      <c r="W112" s="237" t="str">
        <f t="shared" si="27"/>
        <v>海天牌芝麻香油</v>
      </c>
      <c r="X112" s="238" t="s">
        <v>1452</v>
      </c>
      <c r="Y112" s="259" t="s">
        <v>1453</v>
      </c>
      <c r="Z112" s="260" t="s">
        <v>1454</v>
      </c>
      <c r="AA112" s="261">
        <v>0.214</v>
      </c>
      <c r="AB112" s="261">
        <v>0.161</v>
      </c>
      <c r="AC112" s="261">
        <v>0.235</v>
      </c>
      <c r="AD112" s="262">
        <f t="shared" si="28"/>
        <v>79.8</v>
      </c>
      <c r="AE112" s="262">
        <f t="shared" si="29"/>
        <v>39.2</v>
      </c>
      <c r="AF112" s="263">
        <f t="shared" si="30"/>
        <v>0.11</v>
      </c>
      <c r="AG112" s="278" t="s">
        <v>1455</v>
      </c>
      <c r="AH112" s="278" t="s">
        <v>1456</v>
      </c>
      <c r="AI112" s="244">
        <f t="shared" si="31"/>
        <v>0.00424242424242424</v>
      </c>
      <c r="AJ112" s="244">
        <f t="shared" si="32"/>
        <v>0</v>
      </c>
      <c r="AK112" s="244">
        <f t="shared" si="17"/>
        <v>0.00285132382892057</v>
      </c>
      <c r="AL112" s="244"/>
      <c r="AM112" s="141"/>
      <c r="AN112" s="141"/>
      <c r="AO112" s="141"/>
      <c r="AP112" s="141"/>
      <c r="AQ112" s="141"/>
      <c r="AR112" s="141"/>
      <c r="AS112" s="141"/>
      <c r="AT112" s="141"/>
      <c r="AU112" s="141"/>
      <c r="AY112" s="305"/>
    </row>
    <row r="113" customHeight="1" spans="1:51">
      <c r="A113" s="162" t="str">
        <f t="shared" si="18"/>
        <v/>
      </c>
      <c r="B113" s="165"/>
      <c r="C113" s="165" t="str">
        <f>IFERROR(RANK(A113,$A$12:$A$125,0)+COUNTIFS(A$12:A113,A113)-1,"")</f>
        <v/>
      </c>
      <c r="D113" s="166" t="s">
        <v>1457</v>
      </c>
      <c r="E113" s="165" t="s">
        <v>820</v>
      </c>
      <c r="F113" s="167" t="s">
        <v>1446</v>
      </c>
      <c r="G113" s="167" t="s">
        <v>1458</v>
      </c>
      <c r="H113" s="168" t="s">
        <v>1459</v>
      </c>
      <c r="I113" s="203" t="s">
        <v>1460</v>
      </c>
      <c r="J113" s="203" t="s">
        <v>1461</v>
      </c>
      <c r="K113" s="203">
        <v>1967500</v>
      </c>
      <c r="L113" s="204"/>
      <c r="M113" s="204"/>
      <c r="N113" s="204">
        <f t="shared" si="19"/>
        <v>0</v>
      </c>
      <c r="O113" s="206" t="e">
        <f t="shared" si="20"/>
        <v>#DIV/0!</v>
      </c>
      <c r="P113" s="207">
        <f t="shared" si="21"/>
        <v>0</v>
      </c>
      <c r="Q113" s="234">
        <f t="shared" si="22"/>
        <v>0</v>
      </c>
      <c r="R113" s="235">
        <f t="shared" si="23"/>
        <v>0</v>
      </c>
      <c r="S113" s="236">
        <v>0.08</v>
      </c>
      <c r="T113" s="235">
        <f t="shared" si="24"/>
        <v>0</v>
      </c>
      <c r="U113" s="235">
        <f t="shared" si="25"/>
        <v>0</v>
      </c>
      <c r="V113" s="235">
        <f t="shared" si="26"/>
        <v>0</v>
      </c>
      <c r="W113" s="237" t="str">
        <f t="shared" si="27"/>
        <v>海天牌芝麻香油</v>
      </c>
      <c r="X113" s="238" t="s">
        <v>836</v>
      </c>
      <c r="Y113" s="259" t="s">
        <v>1462</v>
      </c>
      <c r="Z113" s="260" t="s">
        <v>903</v>
      </c>
      <c r="AA113" s="261">
        <v>0.353</v>
      </c>
      <c r="AB113" s="261">
        <v>0.244</v>
      </c>
      <c r="AC113" s="261">
        <v>0.317</v>
      </c>
      <c r="AD113" s="262">
        <f t="shared" si="28"/>
        <v>0</v>
      </c>
      <c r="AE113" s="262">
        <f t="shared" si="29"/>
        <v>0</v>
      </c>
      <c r="AF113" s="263">
        <f t="shared" si="30"/>
        <v>0</v>
      </c>
      <c r="AG113" s="278" t="s">
        <v>1463</v>
      </c>
      <c r="AH113" s="278" t="s">
        <v>930</v>
      </c>
      <c r="AI113" s="244">
        <f t="shared" si="31"/>
        <v>0</v>
      </c>
      <c r="AJ113" s="244">
        <f t="shared" si="32"/>
        <v>0</v>
      </c>
      <c r="AK113" s="244">
        <f t="shared" si="17"/>
        <v>0</v>
      </c>
      <c r="AL113" s="244"/>
      <c r="AM113" s="141"/>
      <c r="AN113" s="141"/>
      <c r="AO113" s="141"/>
      <c r="AP113" s="141"/>
      <c r="AQ113" s="141"/>
      <c r="AR113" s="141"/>
      <c r="AS113" s="141"/>
      <c r="AT113" s="141"/>
      <c r="AU113" s="141"/>
      <c r="AY113" s="305"/>
    </row>
    <row r="114" customHeight="1" spans="1:51">
      <c r="A114" s="162" t="str">
        <f t="shared" si="18"/>
        <v/>
      </c>
      <c r="B114" s="170" t="s">
        <v>1464</v>
      </c>
      <c r="C114" s="165" t="str">
        <f>IFERROR(RANK(A114,$A$12:$A$125,0)+COUNTIFS(A$12:A114,A114)-1,"")</f>
        <v/>
      </c>
      <c r="D114" s="166">
        <v>89704920503</v>
      </c>
      <c r="E114" s="165" t="s">
        <v>917</v>
      </c>
      <c r="F114" s="167" t="s">
        <v>1464</v>
      </c>
      <c r="G114" s="167" t="s">
        <v>1465</v>
      </c>
      <c r="H114" s="168" t="s">
        <v>1466</v>
      </c>
      <c r="I114" s="203" t="s">
        <v>1467</v>
      </c>
      <c r="J114" s="203" t="s">
        <v>1468</v>
      </c>
      <c r="K114" s="203"/>
      <c r="L114" s="204"/>
      <c r="M114" s="204"/>
      <c r="N114" s="204"/>
      <c r="O114" s="206" t="e">
        <f t="shared" si="20"/>
        <v>#DIV/0!</v>
      </c>
      <c r="P114" s="207">
        <f t="shared" si="21"/>
        <v>0</v>
      </c>
      <c r="Q114" s="234">
        <f t="shared" si="22"/>
        <v>0</v>
      </c>
      <c r="R114" s="235">
        <f t="shared" si="23"/>
        <v>0</v>
      </c>
      <c r="S114" s="236">
        <v>0.08</v>
      </c>
      <c r="T114" s="235">
        <f t="shared" si="24"/>
        <v>0</v>
      </c>
      <c r="U114" s="235">
        <f t="shared" si="25"/>
        <v>0</v>
      </c>
      <c r="V114" s="235">
        <f t="shared" si="26"/>
        <v>0</v>
      </c>
      <c r="W114" s="237" t="str">
        <f t="shared" si="27"/>
        <v>海天牌鸡精调味料</v>
      </c>
      <c r="X114" s="238" t="s">
        <v>1469</v>
      </c>
      <c r="Y114" s="259">
        <v>11.3</v>
      </c>
      <c r="Z114" s="260">
        <v>10</v>
      </c>
      <c r="AA114" s="261">
        <v>0.505</v>
      </c>
      <c r="AB114" s="261">
        <v>0.34</v>
      </c>
      <c r="AC114" s="261">
        <v>0.158</v>
      </c>
      <c r="AD114" s="262">
        <f t="shared" si="28"/>
        <v>0</v>
      </c>
      <c r="AE114" s="262">
        <f t="shared" si="29"/>
        <v>0</v>
      </c>
      <c r="AF114" s="263">
        <f t="shared" si="30"/>
        <v>0</v>
      </c>
      <c r="AG114" s="329">
        <v>840</v>
      </c>
      <c r="AH114" s="278">
        <v>2480</v>
      </c>
      <c r="AI114" s="244">
        <f t="shared" si="31"/>
        <v>0</v>
      </c>
      <c r="AJ114" s="244">
        <f t="shared" si="32"/>
        <v>0</v>
      </c>
      <c r="AK114" s="244">
        <f t="shared" si="17"/>
        <v>0</v>
      </c>
      <c r="AL114" s="244"/>
      <c r="AM114" s="141"/>
      <c r="AN114" s="141"/>
      <c r="AO114" s="141"/>
      <c r="AP114" s="141"/>
      <c r="AQ114" s="141"/>
      <c r="AR114" s="141"/>
      <c r="AS114" s="141"/>
      <c r="AT114" s="141"/>
      <c r="AU114" s="141"/>
      <c r="AY114" s="305"/>
    </row>
    <row r="115" customHeight="1" spans="1:51">
      <c r="A115" s="162" t="str">
        <f t="shared" si="18"/>
        <v/>
      </c>
      <c r="B115" s="169"/>
      <c r="C115" s="165" t="str">
        <f>IFERROR(RANK(A115,$A$12:$A$125,0)+COUNTIFS(A$12:A115,A115)-1,"")</f>
        <v/>
      </c>
      <c r="D115" s="166">
        <v>89704920003</v>
      </c>
      <c r="E115" s="165" t="s">
        <v>917</v>
      </c>
      <c r="F115" s="167" t="s">
        <v>1464</v>
      </c>
      <c r="G115" s="167" t="s">
        <v>1470</v>
      </c>
      <c r="H115" s="168" t="s">
        <v>1471</v>
      </c>
      <c r="I115" s="203" t="s">
        <v>1472</v>
      </c>
      <c r="J115" s="203" t="s">
        <v>1473</v>
      </c>
      <c r="K115" s="203"/>
      <c r="L115" s="204"/>
      <c r="M115" s="204"/>
      <c r="N115" s="204"/>
      <c r="O115" s="206" t="e">
        <f t="shared" si="20"/>
        <v>#DIV/0!</v>
      </c>
      <c r="P115" s="207">
        <f t="shared" si="21"/>
        <v>0</v>
      </c>
      <c r="Q115" s="234">
        <f t="shared" si="22"/>
        <v>0</v>
      </c>
      <c r="R115" s="235">
        <f t="shared" si="23"/>
        <v>0</v>
      </c>
      <c r="S115" s="236">
        <v>0.08</v>
      </c>
      <c r="T115" s="235">
        <f t="shared" si="24"/>
        <v>0</v>
      </c>
      <c r="U115" s="235">
        <f t="shared" si="25"/>
        <v>0</v>
      </c>
      <c r="V115" s="235">
        <f t="shared" si="26"/>
        <v>0</v>
      </c>
      <c r="W115" s="237" t="str">
        <f t="shared" si="27"/>
        <v>海天牌鸡精调味料</v>
      </c>
      <c r="X115" s="238" t="s">
        <v>1474</v>
      </c>
      <c r="Y115" s="259">
        <v>5.7</v>
      </c>
      <c r="Z115" s="260">
        <v>4.8</v>
      </c>
      <c r="AA115" s="261">
        <v>0.41</v>
      </c>
      <c r="AB115" s="261">
        <v>0.235</v>
      </c>
      <c r="AC115" s="261">
        <v>0.198</v>
      </c>
      <c r="AD115" s="262">
        <f t="shared" si="28"/>
        <v>0</v>
      </c>
      <c r="AE115" s="262">
        <f t="shared" si="29"/>
        <v>0</v>
      </c>
      <c r="AF115" s="263">
        <f t="shared" si="30"/>
        <v>0</v>
      </c>
      <c r="AG115" s="329">
        <v>1490</v>
      </c>
      <c r="AH115" s="278">
        <v>4910</v>
      </c>
      <c r="AI115" s="244">
        <f t="shared" si="31"/>
        <v>0</v>
      </c>
      <c r="AJ115" s="244">
        <f t="shared" si="32"/>
        <v>0</v>
      </c>
      <c r="AK115" s="244">
        <f t="shared" si="17"/>
        <v>0</v>
      </c>
      <c r="AL115" s="244"/>
      <c r="AM115" s="141"/>
      <c r="AN115" s="141"/>
      <c r="AO115" s="141"/>
      <c r="AP115" s="141"/>
      <c r="AQ115" s="141"/>
      <c r="AR115" s="141"/>
      <c r="AS115" s="141"/>
      <c r="AT115" s="141"/>
      <c r="AU115" s="141"/>
      <c r="AY115" s="305"/>
    </row>
    <row r="116" customHeight="1" spans="1:51">
      <c r="A116" s="162">
        <f t="shared" si="18"/>
        <v>1</v>
      </c>
      <c r="B116" s="165" t="s">
        <v>1475</v>
      </c>
      <c r="C116" s="165">
        <f>IFERROR(RANK(A116,$A$12:$A$125,0)+COUNTIFS(A$12:A116,A116)-1,"")</f>
        <v>3</v>
      </c>
      <c r="D116" s="166" t="s">
        <v>1476</v>
      </c>
      <c r="E116" s="165" t="s">
        <v>917</v>
      </c>
      <c r="F116" s="167" t="s">
        <v>1475</v>
      </c>
      <c r="G116" s="167" t="s">
        <v>1477</v>
      </c>
      <c r="H116" s="168" t="s">
        <v>1478</v>
      </c>
      <c r="I116" s="203" t="s">
        <v>1479</v>
      </c>
      <c r="J116" s="203" t="s">
        <v>1480</v>
      </c>
      <c r="K116" s="203">
        <v>136000</v>
      </c>
      <c r="L116" s="204">
        <v>19</v>
      </c>
      <c r="M116" s="204">
        <v>9</v>
      </c>
      <c r="N116" s="204">
        <f t="shared" ref="N116:N126" si="33">L116+M116</f>
        <v>28</v>
      </c>
      <c r="O116" s="206" t="str">
        <f t="shared" si="20"/>
        <v>大于8送1</v>
      </c>
      <c r="P116" s="207">
        <f t="shared" si="21"/>
        <v>2584000</v>
      </c>
      <c r="Q116" s="234">
        <f t="shared" si="22"/>
        <v>1224000</v>
      </c>
      <c r="R116" s="235">
        <f t="shared" si="23"/>
        <v>3808000</v>
      </c>
      <c r="S116" s="236">
        <v>0.08</v>
      </c>
      <c r="T116" s="235">
        <f t="shared" si="24"/>
        <v>2790720</v>
      </c>
      <c r="U116" s="235">
        <f t="shared" si="25"/>
        <v>1321920</v>
      </c>
      <c r="V116" s="235">
        <f t="shared" si="26"/>
        <v>4112640</v>
      </c>
      <c r="W116" s="237" t="str">
        <f t="shared" si="27"/>
        <v>海天牌惠系白米醋</v>
      </c>
      <c r="X116" s="238" t="s">
        <v>1139</v>
      </c>
      <c r="Y116" s="259" t="s">
        <v>1026</v>
      </c>
      <c r="Z116" s="260" t="s">
        <v>1481</v>
      </c>
      <c r="AA116" s="261">
        <v>0.321</v>
      </c>
      <c r="AB116" s="261">
        <v>0.19</v>
      </c>
      <c r="AC116" s="261">
        <v>0.267</v>
      </c>
      <c r="AD116" s="262">
        <f t="shared" si="28"/>
        <v>302.4</v>
      </c>
      <c r="AE116" s="262">
        <f t="shared" si="29"/>
        <v>271.6</v>
      </c>
      <c r="AF116" s="263">
        <f t="shared" si="30"/>
        <v>0.46</v>
      </c>
      <c r="AG116" s="278" t="s">
        <v>1482</v>
      </c>
      <c r="AH116" s="278" t="s">
        <v>1028</v>
      </c>
      <c r="AI116" s="244">
        <f t="shared" si="31"/>
        <v>0.0167664670658683</v>
      </c>
      <c r="AJ116" s="244">
        <f t="shared" si="32"/>
        <v>0</v>
      </c>
      <c r="AK116" s="244">
        <f t="shared" si="17"/>
        <v>0.0108108108108108</v>
      </c>
      <c r="AL116" s="244"/>
      <c r="AM116" s="141"/>
      <c r="AN116" s="141"/>
      <c r="AO116" s="141"/>
      <c r="AP116" s="141"/>
      <c r="AQ116" s="141"/>
      <c r="AR116" s="141"/>
      <c r="AS116" s="141"/>
      <c r="AT116" s="141"/>
      <c r="AU116" s="141"/>
      <c r="AY116" s="305"/>
    </row>
    <row r="117" customHeight="1" spans="1:51">
      <c r="A117" s="162" t="str">
        <f t="shared" si="18"/>
        <v/>
      </c>
      <c r="B117" s="170" t="s">
        <v>1483</v>
      </c>
      <c r="C117" s="165" t="str">
        <f>IFERROR(RANK(A117,$A$12:$A$125,0)+COUNTIFS(A$12:A117,A117)-1,"")</f>
        <v/>
      </c>
      <c r="D117" s="166" t="s">
        <v>1484</v>
      </c>
      <c r="E117" s="165" t="s">
        <v>820</v>
      </c>
      <c r="F117" s="167" t="s">
        <v>1483</v>
      </c>
      <c r="G117" s="167" t="s">
        <v>1485</v>
      </c>
      <c r="H117" s="167" t="s">
        <v>1486</v>
      </c>
      <c r="I117" s="203" t="s">
        <v>1487</v>
      </c>
      <c r="J117" s="203" t="s">
        <v>1488</v>
      </c>
      <c r="K117" s="203">
        <v>219000</v>
      </c>
      <c r="L117" s="204"/>
      <c r="M117" s="204"/>
      <c r="N117" s="204">
        <f t="shared" si="33"/>
        <v>0</v>
      </c>
      <c r="O117" s="206" t="e">
        <f t="shared" si="20"/>
        <v>#DIV/0!</v>
      </c>
      <c r="P117" s="206">
        <f t="shared" si="21"/>
        <v>0</v>
      </c>
      <c r="Q117" s="319">
        <f t="shared" si="22"/>
        <v>0</v>
      </c>
      <c r="R117" s="320">
        <f t="shared" si="23"/>
        <v>0</v>
      </c>
      <c r="S117" s="236">
        <v>0.08</v>
      </c>
      <c r="T117" s="320">
        <f t="shared" si="24"/>
        <v>0</v>
      </c>
      <c r="U117" s="320">
        <f t="shared" si="25"/>
        <v>0</v>
      </c>
      <c r="V117" s="320">
        <f t="shared" si="26"/>
        <v>0</v>
      </c>
      <c r="W117" s="237" t="str">
        <f t="shared" si="27"/>
        <v>海天牌5度白醋</v>
      </c>
      <c r="X117" s="238" t="s">
        <v>836</v>
      </c>
      <c r="Y117" s="259" t="s">
        <v>1489</v>
      </c>
      <c r="Z117" s="260" t="s">
        <v>1462</v>
      </c>
      <c r="AA117" s="261">
        <v>0.353</v>
      </c>
      <c r="AB117" s="261">
        <v>0.244</v>
      </c>
      <c r="AC117" s="261">
        <v>0.317</v>
      </c>
      <c r="AD117" s="165">
        <f t="shared" si="28"/>
        <v>0</v>
      </c>
      <c r="AE117" s="165">
        <f t="shared" si="29"/>
        <v>0</v>
      </c>
      <c r="AF117" s="323">
        <f t="shared" si="30"/>
        <v>0</v>
      </c>
      <c r="AG117" s="278" t="s">
        <v>1463</v>
      </c>
      <c r="AH117" s="278" t="s">
        <v>1201</v>
      </c>
      <c r="AI117" s="244">
        <f t="shared" si="31"/>
        <v>0</v>
      </c>
      <c r="AJ117" s="244">
        <f t="shared" si="32"/>
        <v>0</v>
      </c>
      <c r="AK117" s="244">
        <f t="shared" si="17"/>
        <v>0</v>
      </c>
      <c r="AL117" s="141"/>
      <c r="AM117" s="141"/>
      <c r="AN117" s="141"/>
      <c r="AO117" s="141"/>
      <c r="AP117" s="141"/>
      <c r="AQ117" s="141"/>
      <c r="AR117" s="141"/>
      <c r="AS117" s="141"/>
      <c r="AT117" s="141"/>
      <c r="AU117" s="141"/>
      <c r="AY117" s="305"/>
    </row>
    <row r="118" customHeight="1" spans="1:51">
      <c r="A118" s="162" t="str">
        <f t="shared" si="18"/>
        <v/>
      </c>
      <c r="B118" s="169"/>
      <c r="C118" s="165" t="str">
        <f>IFERROR(RANK(A118,$A$12:$A$125,0)+COUNTIFS(A$12:A118,A118)-1,"")</f>
        <v/>
      </c>
      <c r="D118" s="166" t="s">
        <v>1490</v>
      </c>
      <c r="E118" s="165" t="s">
        <v>820</v>
      </c>
      <c r="F118" s="167" t="s">
        <v>1483</v>
      </c>
      <c r="G118" s="167" t="s">
        <v>1491</v>
      </c>
      <c r="H118" s="167" t="s">
        <v>1492</v>
      </c>
      <c r="I118" s="203" t="s">
        <v>1493</v>
      </c>
      <c r="J118" s="203" t="s">
        <v>1494</v>
      </c>
      <c r="K118" s="203">
        <v>176000</v>
      </c>
      <c r="L118" s="204"/>
      <c r="M118" s="204"/>
      <c r="N118" s="204">
        <f t="shared" si="33"/>
        <v>0</v>
      </c>
      <c r="O118" s="206" t="e">
        <f t="shared" si="20"/>
        <v>#DIV/0!</v>
      </c>
      <c r="P118" s="206">
        <f t="shared" si="21"/>
        <v>0</v>
      </c>
      <c r="Q118" s="319">
        <f t="shared" si="22"/>
        <v>0</v>
      </c>
      <c r="R118" s="320">
        <f t="shared" si="23"/>
        <v>0</v>
      </c>
      <c r="S118" s="236">
        <v>0.08</v>
      </c>
      <c r="T118" s="320">
        <f t="shared" si="24"/>
        <v>0</v>
      </c>
      <c r="U118" s="320">
        <f t="shared" si="25"/>
        <v>0</v>
      </c>
      <c r="V118" s="320">
        <f t="shared" si="26"/>
        <v>0</v>
      </c>
      <c r="W118" s="237" t="str">
        <f t="shared" si="27"/>
        <v>海天牌5度白醋</v>
      </c>
      <c r="X118" s="238" t="s">
        <v>1083</v>
      </c>
      <c r="Y118" s="259" t="s">
        <v>1495</v>
      </c>
      <c r="Z118" s="260" t="s">
        <v>879</v>
      </c>
      <c r="AA118" s="261">
        <v>0.285</v>
      </c>
      <c r="AB118" s="261">
        <v>0.17</v>
      </c>
      <c r="AC118" s="261">
        <v>0.26</v>
      </c>
      <c r="AD118" s="165">
        <f t="shared" si="28"/>
        <v>0</v>
      </c>
      <c r="AE118" s="165">
        <f t="shared" si="29"/>
        <v>0</v>
      </c>
      <c r="AF118" s="323">
        <f t="shared" si="30"/>
        <v>0</v>
      </c>
      <c r="AG118" s="278" t="s">
        <v>1405</v>
      </c>
      <c r="AH118" s="278" t="s">
        <v>1496</v>
      </c>
      <c r="AI118" s="244">
        <f t="shared" si="31"/>
        <v>0</v>
      </c>
      <c r="AJ118" s="244">
        <f t="shared" si="32"/>
        <v>0</v>
      </c>
      <c r="AK118" s="244">
        <f t="shared" si="17"/>
        <v>0</v>
      </c>
      <c r="AL118" s="141"/>
      <c r="AM118" s="141"/>
      <c r="AN118" s="141"/>
      <c r="AO118" s="141"/>
      <c r="AP118" s="141"/>
      <c r="AQ118" s="141"/>
      <c r="AR118" s="141"/>
      <c r="AS118" s="141"/>
      <c r="AT118" s="141"/>
      <c r="AU118" s="141"/>
      <c r="AY118" s="305"/>
    </row>
    <row r="119" customHeight="1" spans="1:51">
      <c r="A119" s="162">
        <f t="shared" si="18"/>
        <v>1</v>
      </c>
      <c r="B119" s="311" t="s">
        <v>1497</v>
      </c>
      <c r="C119" s="165">
        <f>IFERROR(RANK(A119,$A$12:$A$125,0)+COUNTIFS(A$12:A119,A119)-1,"")</f>
        <v>4</v>
      </c>
      <c r="D119" s="166" t="s">
        <v>1498</v>
      </c>
      <c r="E119" s="165" t="s">
        <v>820</v>
      </c>
      <c r="F119" s="167" t="s">
        <v>1497</v>
      </c>
      <c r="G119" s="312" t="s">
        <v>1499</v>
      </c>
      <c r="H119" s="168" t="s">
        <v>1500</v>
      </c>
      <c r="I119" s="215" t="s">
        <v>1501</v>
      </c>
      <c r="J119" s="215" t="s">
        <v>1502</v>
      </c>
      <c r="K119" s="203">
        <v>357800</v>
      </c>
      <c r="L119" s="204">
        <v>12</v>
      </c>
      <c r="M119" s="204">
        <v>10</v>
      </c>
      <c r="N119" s="204">
        <f t="shared" si="33"/>
        <v>22</v>
      </c>
      <c r="O119" s="206" t="str">
        <f t="shared" si="20"/>
        <v>大于8送1</v>
      </c>
      <c r="P119" s="206">
        <f t="shared" si="21"/>
        <v>4293600</v>
      </c>
      <c r="Q119" s="319">
        <f t="shared" si="22"/>
        <v>3578000</v>
      </c>
      <c r="R119" s="320">
        <f t="shared" si="23"/>
        <v>7871600</v>
      </c>
      <c r="S119" s="236">
        <v>0.08</v>
      </c>
      <c r="T119" s="320">
        <f t="shared" si="24"/>
        <v>4637088</v>
      </c>
      <c r="U119" s="320">
        <f t="shared" si="25"/>
        <v>3864240</v>
      </c>
      <c r="V119" s="320">
        <f t="shared" si="26"/>
        <v>8501328</v>
      </c>
      <c r="W119" s="237" t="str">
        <f t="shared" si="27"/>
        <v>海天牌苹果醋调味汁</v>
      </c>
      <c r="X119" s="238" t="s">
        <v>836</v>
      </c>
      <c r="Y119" s="278" t="s">
        <v>838</v>
      </c>
      <c r="Z119" s="260" t="s">
        <v>1503</v>
      </c>
      <c r="AA119" s="261">
        <v>0.351</v>
      </c>
      <c r="AB119" s="261">
        <v>0.234</v>
      </c>
      <c r="AC119" s="261">
        <v>0.299</v>
      </c>
      <c r="AD119" s="165">
        <f t="shared" si="28"/>
        <v>308</v>
      </c>
      <c r="AE119" s="165">
        <f t="shared" si="29"/>
        <v>288.2</v>
      </c>
      <c r="AF119" s="323">
        <f t="shared" si="30"/>
        <v>0.54</v>
      </c>
      <c r="AG119" s="278" t="s">
        <v>862</v>
      </c>
      <c r="AH119" s="278" t="s">
        <v>828</v>
      </c>
      <c r="AI119" s="244">
        <f t="shared" si="31"/>
        <v>0.0196428571428571</v>
      </c>
      <c r="AJ119" s="244">
        <f t="shared" si="32"/>
        <v>0</v>
      </c>
      <c r="AK119" s="244">
        <f t="shared" ref="AK119:AK126" si="34">(L119+M119)/AH119</f>
        <v>0.011</v>
      </c>
      <c r="AL119" s="141"/>
      <c r="AM119" s="141"/>
      <c r="AN119" s="141"/>
      <c r="AO119" s="141"/>
      <c r="AP119" s="141"/>
      <c r="AQ119" s="141"/>
      <c r="AR119" s="141"/>
      <c r="AS119" s="141"/>
      <c r="AT119" s="141"/>
      <c r="AU119" s="141"/>
      <c r="AY119" s="305"/>
    </row>
    <row r="120" customHeight="1" spans="1:51">
      <c r="A120" s="162" t="str">
        <f t="shared" si="18"/>
        <v/>
      </c>
      <c r="B120" s="169"/>
      <c r="C120" s="165" t="str">
        <f>IFERROR(RANK(A120,$A$12:$A$125,0)+COUNTIFS(A$12:A120,A120)-1,"")</f>
        <v/>
      </c>
      <c r="D120" s="166" t="s">
        <v>1504</v>
      </c>
      <c r="E120" s="165" t="s">
        <v>820</v>
      </c>
      <c r="F120" s="167" t="s">
        <v>1497</v>
      </c>
      <c r="G120" s="312" t="s">
        <v>1505</v>
      </c>
      <c r="H120" s="168" t="s">
        <v>1506</v>
      </c>
      <c r="I120" s="215" t="s">
        <v>1507</v>
      </c>
      <c r="J120" s="215" t="s">
        <v>1508</v>
      </c>
      <c r="K120" s="203">
        <v>232000</v>
      </c>
      <c r="L120" s="204"/>
      <c r="M120" s="204"/>
      <c r="N120" s="204">
        <f t="shared" si="33"/>
        <v>0</v>
      </c>
      <c r="O120" s="206" t="e">
        <f t="shared" si="20"/>
        <v>#DIV/0!</v>
      </c>
      <c r="P120" s="206">
        <f t="shared" si="21"/>
        <v>0</v>
      </c>
      <c r="Q120" s="319">
        <f t="shared" si="22"/>
        <v>0</v>
      </c>
      <c r="R120" s="320">
        <f t="shared" si="23"/>
        <v>0</v>
      </c>
      <c r="S120" s="236">
        <v>0.08</v>
      </c>
      <c r="T120" s="320">
        <f t="shared" si="24"/>
        <v>0</v>
      </c>
      <c r="U120" s="320">
        <f t="shared" si="25"/>
        <v>0</v>
      </c>
      <c r="V120" s="320">
        <f t="shared" si="26"/>
        <v>0</v>
      </c>
      <c r="W120" s="237" t="str">
        <f t="shared" si="27"/>
        <v>海天牌苹果醋调味汁</v>
      </c>
      <c r="X120" s="238" t="s">
        <v>1083</v>
      </c>
      <c r="Y120" s="278" t="s">
        <v>1509</v>
      </c>
      <c r="Z120" s="260" t="s">
        <v>1510</v>
      </c>
      <c r="AA120" s="261">
        <v>0.27</v>
      </c>
      <c r="AB120" s="261">
        <v>0.16</v>
      </c>
      <c r="AC120" s="261">
        <v>0.25</v>
      </c>
      <c r="AD120" s="165">
        <f t="shared" si="28"/>
        <v>0</v>
      </c>
      <c r="AE120" s="165">
        <f t="shared" si="29"/>
        <v>0</v>
      </c>
      <c r="AF120" s="323">
        <f t="shared" si="30"/>
        <v>0</v>
      </c>
      <c r="AG120" s="278" t="s">
        <v>1405</v>
      </c>
      <c r="AH120" s="278" t="s">
        <v>1290</v>
      </c>
      <c r="AI120" s="244">
        <f t="shared" si="31"/>
        <v>0</v>
      </c>
      <c r="AJ120" s="244">
        <f t="shared" si="32"/>
        <v>0</v>
      </c>
      <c r="AK120" s="244">
        <f t="shared" si="34"/>
        <v>0</v>
      </c>
      <c r="AL120" s="141"/>
      <c r="AM120" s="141"/>
      <c r="AN120" s="141"/>
      <c r="AO120" s="141"/>
      <c r="AP120" s="141"/>
      <c r="AQ120" s="141"/>
      <c r="AR120" s="141"/>
      <c r="AS120" s="141"/>
      <c r="AT120" s="141"/>
      <c r="AU120" s="141"/>
      <c r="AY120" s="305"/>
    </row>
    <row r="121" customHeight="1" spans="1:51">
      <c r="A121" s="162" t="str">
        <f t="shared" si="18"/>
        <v/>
      </c>
      <c r="B121" s="311" t="s">
        <v>1511</v>
      </c>
      <c r="C121" s="165" t="str">
        <f>IFERROR(RANK(A121,$A$12:$A$125,0)+COUNTIFS(A$12:A121,A121)-1,"")</f>
        <v/>
      </c>
      <c r="D121" s="166" t="s">
        <v>1512</v>
      </c>
      <c r="E121" s="165" t="s">
        <v>820</v>
      </c>
      <c r="F121" s="167" t="s">
        <v>1511</v>
      </c>
      <c r="G121" s="312" t="s">
        <v>1513</v>
      </c>
      <c r="H121" s="168" t="s">
        <v>1514</v>
      </c>
      <c r="I121" s="203" t="s">
        <v>1515</v>
      </c>
      <c r="J121" s="215" t="s">
        <v>1516</v>
      </c>
      <c r="K121" s="203">
        <v>184500</v>
      </c>
      <c r="L121" s="204"/>
      <c r="M121" s="204"/>
      <c r="N121" s="204">
        <f t="shared" si="33"/>
        <v>0</v>
      </c>
      <c r="O121" s="206" t="e">
        <f t="shared" si="20"/>
        <v>#DIV/0!</v>
      </c>
      <c r="P121" s="206">
        <f t="shared" si="21"/>
        <v>0</v>
      </c>
      <c r="Q121" s="319">
        <f t="shared" si="22"/>
        <v>0</v>
      </c>
      <c r="R121" s="320">
        <f t="shared" si="23"/>
        <v>0</v>
      </c>
      <c r="S121" s="236">
        <v>0.08</v>
      </c>
      <c r="T121" s="320">
        <f t="shared" si="24"/>
        <v>0</v>
      </c>
      <c r="U121" s="320">
        <f t="shared" si="25"/>
        <v>0</v>
      </c>
      <c r="V121" s="320">
        <f t="shared" si="26"/>
        <v>0</v>
      </c>
      <c r="W121" s="237" t="str">
        <f t="shared" si="27"/>
        <v>海天牌陈醋</v>
      </c>
      <c r="X121" s="238" t="s">
        <v>1083</v>
      </c>
      <c r="Y121" s="278" t="s">
        <v>1517</v>
      </c>
      <c r="Z121" s="260" t="s">
        <v>1518</v>
      </c>
      <c r="AA121" s="261">
        <v>0.27</v>
      </c>
      <c r="AB121" s="261">
        <v>0.16</v>
      </c>
      <c r="AC121" s="261">
        <v>0.25</v>
      </c>
      <c r="AD121" s="165">
        <f t="shared" si="28"/>
        <v>0</v>
      </c>
      <c r="AE121" s="165">
        <f t="shared" si="29"/>
        <v>0</v>
      </c>
      <c r="AF121" s="323">
        <f t="shared" si="30"/>
        <v>0</v>
      </c>
      <c r="AG121" s="278" t="s">
        <v>1405</v>
      </c>
      <c r="AH121" s="278" t="s">
        <v>1519</v>
      </c>
      <c r="AI121" s="244">
        <f t="shared" si="31"/>
        <v>0</v>
      </c>
      <c r="AJ121" s="244">
        <f t="shared" si="32"/>
        <v>0</v>
      </c>
      <c r="AK121" s="244">
        <f t="shared" si="34"/>
        <v>0</v>
      </c>
      <c r="AL121" s="141"/>
      <c r="AM121" s="141"/>
      <c r="AN121" s="141"/>
      <c r="AO121" s="141"/>
      <c r="AP121" s="141"/>
      <c r="AQ121" s="141"/>
      <c r="AR121" s="141"/>
      <c r="AS121" s="141"/>
      <c r="AT121" s="141"/>
      <c r="AU121" s="141"/>
      <c r="AY121" s="305"/>
    </row>
    <row r="122" customHeight="1" spans="1:51">
      <c r="A122" s="162">
        <f t="shared" si="18"/>
        <v>1</v>
      </c>
      <c r="B122" s="169"/>
      <c r="C122" s="165">
        <f>IFERROR(RANK(A122,$A$12:$A$125,0)+COUNTIFS(A$12:A122,A122)-1,"")</f>
        <v>5</v>
      </c>
      <c r="D122" s="166" t="s">
        <v>1520</v>
      </c>
      <c r="E122" s="165" t="s">
        <v>820</v>
      </c>
      <c r="F122" s="167" t="s">
        <v>1511</v>
      </c>
      <c r="G122" s="312" t="s">
        <v>1521</v>
      </c>
      <c r="H122" s="168" t="s">
        <v>1522</v>
      </c>
      <c r="I122" s="215" t="s">
        <v>1523</v>
      </c>
      <c r="J122" s="215" t="s">
        <v>1524</v>
      </c>
      <c r="K122" s="203">
        <v>265500</v>
      </c>
      <c r="L122" s="204">
        <v>10</v>
      </c>
      <c r="M122" s="204">
        <v>1</v>
      </c>
      <c r="N122" s="204">
        <f t="shared" si="33"/>
        <v>11</v>
      </c>
      <c r="O122" s="206" t="str">
        <f t="shared" si="20"/>
        <v>10送1</v>
      </c>
      <c r="P122" s="206">
        <f t="shared" si="21"/>
        <v>2655000</v>
      </c>
      <c r="Q122" s="319">
        <f t="shared" si="22"/>
        <v>265500</v>
      </c>
      <c r="R122" s="320">
        <f t="shared" si="23"/>
        <v>2920500</v>
      </c>
      <c r="S122" s="236">
        <v>0.08</v>
      </c>
      <c r="T122" s="320">
        <f t="shared" si="24"/>
        <v>2867400</v>
      </c>
      <c r="U122" s="320">
        <f t="shared" si="25"/>
        <v>286740</v>
      </c>
      <c r="V122" s="320">
        <f t="shared" si="26"/>
        <v>3154140</v>
      </c>
      <c r="W122" s="237" t="str">
        <f t="shared" si="27"/>
        <v>海天牌陈醋</v>
      </c>
      <c r="X122" s="238" t="s">
        <v>836</v>
      </c>
      <c r="Y122" s="278" t="s">
        <v>893</v>
      </c>
      <c r="Z122" s="260" t="s">
        <v>1525</v>
      </c>
      <c r="AA122" s="261">
        <v>0.351</v>
      </c>
      <c r="AB122" s="261">
        <v>0.234</v>
      </c>
      <c r="AC122" s="261">
        <v>0.299</v>
      </c>
      <c r="AD122" s="165">
        <f t="shared" si="28"/>
        <v>140.8</v>
      </c>
      <c r="AE122" s="165">
        <f t="shared" si="29"/>
        <v>130.9</v>
      </c>
      <c r="AF122" s="323">
        <f t="shared" si="30"/>
        <v>0.27</v>
      </c>
      <c r="AG122" s="278" t="s">
        <v>862</v>
      </c>
      <c r="AH122" s="278" t="s">
        <v>1526</v>
      </c>
      <c r="AI122" s="244">
        <f t="shared" si="31"/>
        <v>0.00982142857142857</v>
      </c>
      <c r="AJ122" s="244">
        <f t="shared" si="32"/>
        <v>0</v>
      </c>
      <c r="AK122" s="244">
        <f t="shared" si="34"/>
        <v>0.00502283105022831</v>
      </c>
      <c r="AL122" s="141"/>
      <c r="AM122" s="141"/>
      <c r="AN122" s="141"/>
      <c r="AO122" s="141"/>
      <c r="AP122" s="141"/>
      <c r="AQ122" s="141"/>
      <c r="AR122" s="141"/>
      <c r="AS122" s="141"/>
      <c r="AT122" s="141"/>
      <c r="AU122" s="141"/>
      <c r="AY122" s="305"/>
    </row>
    <row r="123" customHeight="1" spans="1:51">
      <c r="A123" s="162" t="str">
        <f t="shared" si="18"/>
        <v/>
      </c>
      <c r="B123" s="169" t="s">
        <v>1527</v>
      </c>
      <c r="C123" s="165" t="str">
        <f>IFERROR(RANK(A123,$A$12:$A$125,0)+COUNTIFS(A$12:A123,A123)-1,"")</f>
        <v/>
      </c>
      <c r="D123" s="166" t="s">
        <v>1528</v>
      </c>
      <c r="E123" s="165" t="s">
        <v>820</v>
      </c>
      <c r="F123" s="167" t="s">
        <v>1527</v>
      </c>
      <c r="G123" s="313" t="s">
        <v>1529</v>
      </c>
      <c r="H123" s="168" t="s">
        <v>1530</v>
      </c>
      <c r="I123" s="203" t="s">
        <v>1531</v>
      </c>
      <c r="J123" s="203" t="s">
        <v>1532</v>
      </c>
      <c r="K123" s="203">
        <v>150000</v>
      </c>
      <c r="L123" s="204"/>
      <c r="M123" s="204"/>
      <c r="N123" s="204">
        <f t="shared" si="33"/>
        <v>0</v>
      </c>
      <c r="O123" s="206" t="e">
        <f t="shared" si="20"/>
        <v>#DIV/0!</v>
      </c>
      <c r="P123" s="206">
        <f t="shared" si="21"/>
        <v>0</v>
      </c>
      <c r="Q123" s="319">
        <f t="shared" si="22"/>
        <v>0</v>
      </c>
      <c r="R123" s="320">
        <f t="shared" si="23"/>
        <v>0</v>
      </c>
      <c r="S123" s="236">
        <v>0.08</v>
      </c>
      <c r="T123" s="320">
        <f t="shared" si="24"/>
        <v>0</v>
      </c>
      <c r="U123" s="320">
        <f t="shared" si="25"/>
        <v>0</v>
      </c>
      <c r="V123" s="320">
        <f t="shared" si="26"/>
        <v>0</v>
      </c>
      <c r="W123" s="237" t="str">
        <f t="shared" si="27"/>
        <v>海天牌精制料酒</v>
      </c>
      <c r="X123" s="238" t="s">
        <v>836</v>
      </c>
      <c r="Y123" s="259">
        <v>12.2</v>
      </c>
      <c r="Z123" s="260">
        <v>11.3</v>
      </c>
      <c r="AA123" s="261">
        <v>0.351</v>
      </c>
      <c r="AB123" s="261">
        <v>0.234</v>
      </c>
      <c r="AC123" s="261">
        <v>0.299</v>
      </c>
      <c r="AD123" s="165">
        <f t="shared" si="28"/>
        <v>0</v>
      </c>
      <c r="AE123" s="165">
        <f t="shared" si="29"/>
        <v>0</v>
      </c>
      <c r="AF123" s="323">
        <f t="shared" si="30"/>
        <v>0</v>
      </c>
      <c r="AG123" s="278" t="s">
        <v>862</v>
      </c>
      <c r="AH123" s="278" t="s">
        <v>1142</v>
      </c>
      <c r="AI123" s="244">
        <f t="shared" si="31"/>
        <v>0</v>
      </c>
      <c r="AJ123" s="244">
        <f t="shared" si="32"/>
        <v>0</v>
      </c>
      <c r="AK123" s="244">
        <f t="shared" si="34"/>
        <v>0</v>
      </c>
      <c r="AL123" s="141"/>
      <c r="AM123" s="141"/>
      <c r="AN123" s="141"/>
      <c r="AO123" s="141"/>
      <c r="AP123" s="141"/>
      <c r="AQ123" s="141"/>
      <c r="AR123" s="141"/>
      <c r="AS123" s="141"/>
      <c r="AT123" s="141"/>
      <c r="AU123" s="141"/>
      <c r="AY123" s="305"/>
    </row>
    <row r="124" customHeight="1" spans="1:51">
      <c r="A124" s="162" t="str">
        <f t="shared" si="18"/>
        <v/>
      </c>
      <c r="B124" s="169" t="s">
        <v>1527</v>
      </c>
      <c r="C124" s="165" t="str">
        <f>IFERROR(RANK(A124,$A$12:$A$125,0)+COUNTIFS(A$12:A124,A124)-1,"")</f>
        <v/>
      </c>
      <c r="D124" s="166" t="s">
        <v>1533</v>
      </c>
      <c r="E124" s="165" t="s">
        <v>820</v>
      </c>
      <c r="F124" s="167" t="s">
        <v>1527</v>
      </c>
      <c r="G124" s="313" t="s">
        <v>1534</v>
      </c>
      <c r="H124" s="313" t="s">
        <v>1535</v>
      </c>
      <c r="I124" s="203" t="s">
        <v>1536</v>
      </c>
      <c r="J124" s="203" t="s">
        <v>1537</v>
      </c>
      <c r="K124" s="203">
        <v>150000</v>
      </c>
      <c r="L124" s="204"/>
      <c r="M124" s="204"/>
      <c r="N124" s="204">
        <f t="shared" si="33"/>
        <v>0</v>
      </c>
      <c r="O124" s="206" t="e">
        <f t="shared" si="20"/>
        <v>#DIV/0!</v>
      </c>
      <c r="P124" s="206">
        <f t="shared" si="21"/>
        <v>0</v>
      </c>
      <c r="Q124" s="319">
        <f t="shared" si="22"/>
        <v>0</v>
      </c>
      <c r="R124" s="320">
        <f t="shared" si="23"/>
        <v>0</v>
      </c>
      <c r="S124" s="236">
        <v>0.08</v>
      </c>
      <c r="T124" s="320">
        <f t="shared" si="24"/>
        <v>0</v>
      </c>
      <c r="U124" s="320">
        <f t="shared" si="25"/>
        <v>0</v>
      </c>
      <c r="V124" s="320">
        <f t="shared" si="26"/>
        <v>0</v>
      </c>
      <c r="W124" s="237" t="str">
        <f t="shared" si="27"/>
        <v>海天牌精制料酒</v>
      </c>
      <c r="X124" s="238" t="s">
        <v>1139</v>
      </c>
      <c r="Y124" s="259">
        <v>10.6</v>
      </c>
      <c r="Z124" s="260">
        <v>9.6</v>
      </c>
      <c r="AA124" s="261">
        <v>0.321</v>
      </c>
      <c r="AB124" s="261">
        <v>0.19</v>
      </c>
      <c r="AC124" s="261">
        <v>0.267</v>
      </c>
      <c r="AD124" s="165">
        <f t="shared" si="28"/>
        <v>0</v>
      </c>
      <c r="AE124" s="165">
        <f t="shared" si="29"/>
        <v>0</v>
      </c>
      <c r="AF124" s="323">
        <f t="shared" si="30"/>
        <v>0</v>
      </c>
      <c r="AG124" s="278" t="s">
        <v>1482</v>
      </c>
      <c r="AH124" s="278" t="s">
        <v>1538</v>
      </c>
      <c r="AI124" s="244">
        <f t="shared" si="31"/>
        <v>0</v>
      </c>
      <c r="AJ124" s="244">
        <f t="shared" si="32"/>
        <v>0</v>
      </c>
      <c r="AK124" s="244">
        <f t="shared" si="34"/>
        <v>0</v>
      </c>
      <c r="AL124" s="141"/>
      <c r="AM124" s="141"/>
      <c r="AN124" s="141"/>
      <c r="AO124" s="141"/>
      <c r="AP124" s="141"/>
      <c r="AQ124" s="141"/>
      <c r="AR124" s="141"/>
      <c r="AS124" s="141"/>
      <c r="AT124" s="141"/>
      <c r="AU124" s="141"/>
      <c r="AY124" s="305"/>
    </row>
    <row r="125" customHeight="1" spans="1:47">
      <c r="A125" s="162" t="str">
        <f t="shared" si="18"/>
        <v/>
      </c>
      <c r="B125" s="165" t="s">
        <v>1539</v>
      </c>
      <c r="C125" s="165" t="str">
        <f>IFERROR(RANK(A125,$A$12:$A$125,0)+COUNTIFS(A$12:A125,A125)-1,"")</f>
        <v/>
      </c>
      <c r="D125" s="166" t="s">
        <v>1540</v>
      </c>
      <c r="E125" s="165" t="s">
        <v>820</v>
      </c>
      <c r="F125" s="167" t="s">
        <v>1539</v>
      </c>
      <c r="G125" s="167" t="s">
        <v>1541</v>
      </c>
      <c r="H125" s="167" t="s">
        <v>1542</v>
      </c>
      <c r="I125" s="203" t="s">
        <v>1543</v>
      </c>
      <c r="J125" s="203" t="s">
        <v>1544</v>
      </c>
      <c r="K125" s="203">
        <v>200000</v>
      </c>
      <c r="L125" s="204"/>
      <c r="M125" s="204"/>
      <c r="N125" s="204">
        <f t="shared" si="33"/>
        <v>0</v>
      </c>
      <c r="O125" s="206" t="e">
        <f t="shared" si="20"/>
        <v>#DIV/0!</v>
      </c>
      <c r="P125" s="207">
        <f t="shared" si="21"/>
        <v>0</v>
      </c>
      <c r="Q125" s="234">
        <f t="shared" si="22"/>
        <v>0</v>
      </c>
      <c r="R125" s="235">
        <f t="shared" si="23"/>
        <v>0</v>
      </c>
      <c r="S125" s="236">
        <v>0.08</v>
      </c>
      <c r="T125" s="235">
        <f t="shared" si="24"/>
        <v>0</v>
      </c>
      <c r="U125" s="235">
        <f t="shared" si="25"/>
        <v>0</v>
      </c>
      <c r="V125" s="235">
        <f t="shared" si="26"/>
        <v>0</v>
      </c>
      <c r="W125" s="237" t="str">
        <f t="shared" si="27"/>
        <v>海天牌海天古道零添加料酒</v>
      </c>
      <c r="X125" s="238" t="s">
        <v>1083</v>
      </c>
      <c r="Y125" s="259" t="s">
        <v>1545</v>
      </c>
      <c r="Z125" s="260" t="s">
        <v>827</v>
      </c>
      <c r="AA125" s="261">
        <v>0.27</v>
      </c>
      <c r="AB125" s="261">
        <v>0.16</v>
      </c>
      <c r="AC125" s="261">
        <v>0.25</v>
      </c>
      <c r="AD125" s="262">
        <f t="shared" si="28"/>
        <v>0</v>
      </c>
      <c r="AE125" s="262">
        <f t="shared" si="29"/>
        <v>0</v>
      </c>
      <c r="AF125" s="263">
        <f t="shared" si="30"/>
        <v>0</v>
      </c>
      <c r="AG125" s="278" t="s">
        <v>1405</v>
      </c>
      <c r="AH125" s="278" t="s">
        <v>1546</v>
      </c>
      <c r="AI125" s="244">
        <f t="shared" si="31"/>
        <v>0</v>
      </c>
      <c r="AJ125" s="244">
        <f t="shared" si="32"/>
        <v>0</v>
      </c>
      <c r="AK125" s="244">
        <f t="shared" si="34"/>
        <v>0</v>
      </c>
      <c r="AL125" s="244"/>
      <c r="AM125" s="141"/>
      <c r="AN125" s="141"/>
      <c r="AO125" s="141"/>
      <c r="AP125" s="141"/>
      <c r="AQ125" s="141"/>
      <c r="AR125" s="141"/>
      <c r="AS125" s="141"/>
      <c r="AT125" s="141"/>
      <c r="AU125" s="141"/>
    </row>
    <row r="126" customHeight="1" spans="1:47">
      <c r="A126" s="162" t="str">
        <f t="shared" si="18"/>
        <v/>
      </c>
      <c r="B126" s="165" t="s">
        <v>1539</v>
      </c>
      <c r="C126" s="165" t="str">
        <f>IFERROR(RANK(A126,$A$12:$A$125,0)+COUNTIFS(A$12:A126,A126)-1,"")</f>
        <v/>
      </c>
      <c r="D126" s="166" t="s">
        <v>1547</v>
      </c>
      <c r="E126" s="165" t="s">
        <v>820</v>
      </c>
      <c r="F126" s="167" t="s">
        <v>1539</v>
      </c>
      <c r="G126" s="167" t="s">
        <v>1548</v>
      </c>
      <c r="H126" s="167" t="s">
        <v>1549</v>
      </c>
      <c r="I126" s="203" t="s">
        <v>1550</v>
      </c>
      <c r="J126" s="203" t="s">
        <v>1551</v>
      </c>
      <c r="K126" s="203">
        <v>186800</v>
      </c>
      <c r="L126" s="204"/>
      <c r="M126" s="204"/>
      <c r="N126" s="204">
        <f t="shared" si="33"/>
        <v>0</v>
      </c>
      <c r="O126" s="206" t="e">
        <f t="shared" si="20"/>
        <v>#DIV/0!</v>
      </c>
      <c r="P126" s="207">
        <f t="shared" si="21"/>
        <v>0</v>
      </c>
      <c r="Q126" s="234">
        <f t="shared" si="22"/>
        <v>0</v>
      </c>
      <c r="R126" s="235">
        <f t="shared" si="23"/>
        <v>0</v>
      </c>
      <c r="S126" s="236">
        <v>0.08</v>
      </c>
      <c r="T126" s="235">
        <f t="shared" si="24"/>
        <v>0</v>
      </c>
      <c r="U126" s="235">
        <f t="shared" si="25"/>
        <v>0</v>
      </c>
      <c r="V126" s="235">
        <f t="shared" si="26"/>
        <v>0</v>
      </c>
      <c r="W126" s="237" t="str">
        <f t="shared" si="27"/>
        <v>海天牌海天古道零添加料酒</v>
      </c>
      <c r="X126" s="238" t="s">
        <v>1552</v>
      </c>
      <c r="Y126" s="259">
        <v>8.5</v>
      </c>
      <c r="Z126" s="260">
        <v>7.7</v>
      </c>
      <c r="AA126" s="261">
        <v>0.325</v>
      </c>
      <c r="AB126" s="261">
        <v>0.22</v>
      </c>
      <c r="AC126" s="261">
        <v>0.276</v>
      </c>
      <c r="AD126" s="262">
        <f t="shared" si="28"/>
        <v>0</v>
      </c>
      <c r="AE126" s="262">
        <f t="shared" si="29"/>
        <v>0</v>
      </c>
      <c r="AF126" s="263">
        <f t="shared" si="30"/>
        <v>0</v>
      </c>
      <c r="AG126" s="278" t="s">
        <v>1200</v>
      </c>
      <c r="AH126" s="278" t="s">
        <v>848</v>
      </c>
      <c r="AI126" s="244">
        <f t="shared" si="31"/>
        <v>0</v>
      </c>
      <c r="AJ126" s="244">
        <f t="shared" si="32"/>
        <v>0</v>
      </c>
      <c r="AK126" s="244">
        <f t="shared" si="34"/>
        <v>0</v>
      </c>
      <c r="AL126" s="244"/>
      <c r="AM126" s="141"/>
      <c r="AN126" s="141"/>
      <c r="AO126" s="141"/>
      <c r="AP126" s="141"/>
      <c r="AQ126" s="141"/>
      <c r="AR126" s="141"/>
      <c r="AS126" s="141"/>
      <c r="AT126" s="141"/>
      <c r="AU126" s="141"/>
    </row>
    <row r="127" customHeight="1" spans="1:47">
      <c r="A127" s="141"/>
      <c r="B127" s="143"/>
      <c r="C127" s="143"/>
      <c r="D127" s="143"/>
      <c r="E127" s="143"/>
      <c r="F127" s="143"/>
      <c r="G127" s="314" t="s">
        <v>1553</v>
      </c>
      <c r="H127" s="315"/>
      <c r="I127" s="315"/>
      <c r="J127" s="315"/>
      <c r="K127" s="315"/>
      <c r="L127" s="316">
        <f>SUM(L12:L126)</f>
        <v>68</v>
      </c>
      <c r="M127" s="316">
        <f>SUM(M12:M126)</f>
        <v>25</v>
      </c>
      <c r="N127" s="316">
        <f>SUM(N12:N126)</f>
        <v>93</v>
      </c>
      <c r="O127" s="317"/>
      <c r="P127" s="316">
        <f>SUM(P12:P126)</f>
        <v>23312300</v>
      </c>
      <c r="Q127" s="316">
        <f>SUM(Q12:Q126)</f>
        <v>7521200</v>
      </c>
      <c r="R127" s="316">
        <f>SUM(R12:R126)</f>
        <v>30833500</v>
      </c>
      <c r="S127" s="321"/>
      <c r="T127" s="316">
        <f>SUM(T12:T126)</f>
        <v>25177284</v>
      </c>
      <c r="U127" s="316">
        <f>SUM(U12:U126)</f>
        <v>8122896</v>
      </c>
      <c r="V127" s="316">
        <f>SUM(V12:V126)</f>
        <v>33300180</v>
      </c>
      <c r="W127" s="315"/>
      <c r="X127" s="315"/>
      <c r="Y127" s="324"/>
      <c r="Z127" s="315"/>
      <c r="AA127" s="325"/>
      <c r="AB127" s="325"/>
      <c r="AC127" s="326"/>
      <c r="AD127" s="316">
        <f>SUM(AD12:AD126)</f>
        <v>971.4</v>
      </c>
      <c r="AE127" s="316">
        <f>SUM(AE12:AE126)</f>
        <v>810.9</v>
      </c>
      <c r="AF127" s="316">
        <f>SUM(AF12:AF126)</f>
        <v>1.57</v>
      </c>
      <c r="AG127" s="316"/>
      <c r="AH127" s="204"/>
      <c r="AI127" s="244">
        <f>SUM(AI12:AI126)</f>
        <v>0.0572147500562861</v>
      </c>
      <c r="AJ127" s="244">
        <f>SUM(AJ12:AJ126)</f>
        <v>0</v>
      </c>
      <c r="AK127" s="244">
        <f>SUM(AK12:AK126)</f>
        <v>0.0346988932665614</v>
      </c>
      <c r="AL127" s="244"/>
      <c r="AM127" s="141"/>
      <c r="AN127" s="141"/>
      <c r="AO127" s="141"/>
      <c r="AP127" s="141"/>
      <c r="AQ127" s="141"/>
      <c r="AR127" s="141"/>
      <c r="AS127" s="141"/>
      <c r="AT127" s="141"/>
      <c r="AU127" s="141"/>
    </row>
    <row r="128" customHeight="1" spans="1:52">
      <c r="A128" s="141" t="s">
        <v>1554</v>
      </c>
      <c r="B128" s="141"/>
      <c r="C128" s="141"/>
      <c r="D128" s="141"/>
      <c r="E128" s="141" t="s">
        <v>1555</v>
      </c>
      <c r="F128" s="223" t="s">
        <v>1556</v>
      </c>
      <c r="G128" s="141" t="s">
        <v>1557</v>
      </c>
      <c r="H128" s="141"/>
      <c r="I128" s="141"/>
      <c r="J128" s="143"/>
      <c r="K128" s="143"/>
      <c r="L128" s="201"/>
      <c r="M128" s="201"/>
      <c r="N128" s="201"/>
      <c r="O128" s="201"/>
      <c r="P128" s="318"/>
      <c r="Q128" s="318"/>
      <c r="R128" s="318"/>
      <c r="S128" s="322"/>
      <c r="T128" s="318"/>
      <c r="U128" s="318"/>
      <c r="V128" s="141"/>
      <c r="W128" s="141"/>
      <c r="X128" s="141"/>
      <c r="Y128" s="153"/>
      <c r="Z128" s="153"/>
      <c r="AA128" s="244"/>
      <c r="AB128" s="244"/>
      <c r="AC128" s="244"/>
      <c r="AD128" s="141"/>
      <c r="AE128" s="141"/>
      <c r="AF128" s="141"/>
      <c r="AG128" s="141"/>
      <c r="AH128" s="141"/>
      <c r="AI128" s="141"/>
      <c r="AJ128" s="141"/>
      <c r="AK128" s="141"/>
      <c r="AL128" s="141"/>
      <c r="AM128" s="141"/>
      <c r="AN128" s="141"/>
      <c r="AO128" s="141"/>
      <c r="AP128" s="141"/>
      <c r="AQ128" s="141"/>
      <c r="AR128" s="141"/>
      <c r="AS128" s="141"/>
      <c r="AT128" s="141"/>
      <c r="AU128" s="141"/>
      <c r="AZ128" s="305"/>
    </row>
    <row r="129" customHeight="1" spans="1:54">
      <c r="A129" s="141">
        <v>1</v>
      </c>
      <c r="B129" s="141"/>
      <c r="C129" s="141"/>
      <c r="D129" s="141" t="str">
        <f>IFERROR(VLOOKUP(A129,'产品订单（暂不含工业物料，待更新物料编码及装运信息）'!$C$10:$D$127,2,0),"")</f>
        <v>89502130001</v>
      </c>
      <c r="E129" s="191">
        <f>VLOOKUP(D129,D9:N125,11,FALSE)</f>
        <v>18</v>
      </c>
      <c r="F129" s="141" t="str">
        <f>VLOOKUP(D129,D9:N125,6,FALSE)</f>
        <v>出口海天牌香菇酱300g*15(越南版；越南公司用)(玻璃瓶)</v>
      </c>
      <c r="G129" s="141">
        <f t="shared" ref="G129:G135" si="35">VLOOKUP(D129,D9:N125,10,FALSE)</f>
        <v>4</v>
      </c>
      <c r="H129" s="141"/>
      <c r="I129" s="141"/>
      <c r="J129" s="141"/>
      <c r="K129" s="141"/>
      <c r="L129" s="153"/>
      <c r="M129" s="334"/>
      <c r="N129" s="153"/>
      <c r="O129" s="153"/>
      <c r="P129" s="217"/>
      <c r="Q129" s="217"/>
      <c r="R129" s="141"/>
      <c r="S129" s="153"/>
      <c r="T129" s="217"/>
      <c r="U129" s="217"/>
      <c r="V129" s="141"/>
      <c r="W129" s="141"/>
      <c r="X129" s="141"/>
      <c r="Y129" s="141"/>
      <c r="Z129" s="141"/>
      <c r="AA129" s="347"/>
      <c r="AB129" s="347"/>
      <c r="AC129" s="244"/>
      <c r="AD129" s="141"/>
      <c r="AE129" s="141"/>
      <c r="AF129" s="141"/>
      <c r="AG129" s="141"/>
      <c r="AH129" s="141"/>
      <c r="AI129" s="141"/>
      <c r="AJ129" s="141"/>
      <c r="AK129" s="141"/>
      <c r="AL129" s="141"/>
      <c r="AM129" s="141"/>
      <c r="AN129" s="141"/>
      <c r="AO129" s="141"/>
      <c r="AP129" s="141"/>
      <c r="AQ129" s="141"/>
      <c r="AR129" s="141"/>
      <c r="AS129" s="141"/>
      <c r="AT129" s="141"/>
      <c r="AU129" s="141"/>
      <c r="AV129" s="158"/>
      <c r="BB129" s="305"/>
    </row>
    <row r="130" ht="31.25" customHeight="1" spans="1:48">
      <c r="A130" s="141">
        <v>2</v>
      </c>
      <c r="B130" s="141"/>
      <c r="C130" s="141"/>
      <c r="D130" s="141" t="str">
        <f>IFERROR(VLOOKUP(A130,'产品订单（暂不含工业物料，待更新物料编码及装运信息）'!$C$10:$D$127,2,0),"")</f>
        <v>89730225001</v>
      </c>
      <c r="E130" s="191">
        <f>VLOOKUP(D130,D10:N126,11,FALSE)</f>
        <v>14</v>
      </c>
      <c r="F130" s="141" t="str">
        <f>VLOOKUP(D130,D10:N126,6,FALSE)</f>
        <v>出口海天牌芝麻香油250ML*12(越南公司用)</v>
      </c>
      <c r="G130" s="141">
        <f t="shared" si="35"/>
        <v>1</v>
      </c>
      <c r="H130" s="141"/>
      <c r="I130" s="141"/>
      <c r="J130" s="141"/>
      <c r="K130" s="141"/>
      <c r="L130" s="153"/>
      <c r="M130" s="334"/>
      <c r="N130" s="153"/>
      <c r="O130" s="153"/>
      <c r="P130" s="217"/>
      <c r="Q130" s="217"/>
      <c r="R130" s="141"/>
      <c r="S130" s="153"/>
      <c r="T130" s="344"/>
      <c r="U130" s="217"/>
      <c r="V130" s="141"/>
      <c r="W130" s="141"/>
      <c r="X130" s="345"/>
      <c r="Y130" s="345"/>
      <c r="Z130" s="345"/>
      <c r="AA130" s="347"/>
      <c r="AB130" s="347"/>
      <c r="AC130" s="244"/>
      <c r="AD130" s="141"/>
      <c r="AE130" s="141"/>
      <c r="AF130" s="141"/>
      <c r="AG130" s="141"/>
      <c r="AH130" s="141"/>
      <c r="AI130" s="141"/>
      <c r="AJ130" s="141"/>
      <c r="AK130" s="141"/>
      <c r="AL130" s="141"/>
      <c r="AM130" s="141"/>
      <c r="AN130" s="141"/>
      <c r="AO130" s="141"/>
      <c r="AP130" s="141"/>
      <c r="AQ130" s="141"/>
      <c r="AR130" s="141"/>
      <c r="AS130" s="141"/>
      <c r="AT130" s="141"/>
      <c r="AU130" s="141"/>
      <c r="AV130" s="158"/>
    </row>
    <row r="131" ht="36.7" customHeight="1" spans="1:48">
      <c r="A131" s="141">
        <v>3</v>
      </c>
      <c r="B131" s="141"/>
      <c r="C131" s="141"/>
      <c r="D131" s="141" t="str">
        <f>IFERROR(VLOOKUP(A131,'产品订单（暂不含工业物料，待更新物料编码及装运信息）'!$C$10:$D$127,2,0),"")</f>
        <v>89201580001</v>
      </c>
      <c r="E131" s="191">
        <f>VLOOKUP(D131,D11:N127,11,FALSE)</f>
        <v>28</v>
      </c>
      <c r="F131" s="141" t="str">
        <f>VLOOKUP(D131,D11:N127,6,FALSE)</f>
        <v>出口海天牌惠系白米醋800ML*12(越南版；越南公司用)(PET瓶)</v>
      </c>
      <c r="G131" s="141">
        <f t="shared" si="35"/>
        <v>9</v>
      </c>
      <c r="H131" s="141"/>
      <c r="I131" s="141"/>
      <c r="J131" s="335"/>
      <c r="K131" s="336"/>
      <c r="L131" s="337"/>
      <c r="M131" s="153"/>
      <c r="N131" s="153"/>
      <c r="O131" s="153"/>
      <c r="P131" s="217"/>
      <c r="Q131" s="217"/>
      <c r="R131" s="141"/>
      <c r="S131" s="153"/>
      <c r="T131" s="217"/>
      <c r="U131" s="217"/>
      <c r="V131" s="345"/>
      <c r="W131" s="345"/>
      <c r="X131" s="141"/>
      <c r="Y131" s="141"/>
      <c r="Z131" s="141"/>
      <c r="AA131" s="347"/>
      <c r="AB131" s="347"/>
      <c r="AC131" s="244"/>
      <c r="AD131" s="141"/>
      <c r="AE131" s="141"/>
      <c r="AF131" s="141"/>
      <c r="AG131" s="141"/>
      <c r="AH131" s="141"/>
      <c r="AI131" s="141"/>
      <c r="AJ131" s="141"/>
      <c r="AK131" s="141"/>
      <c r="AL131" s="141"/>
      <c r="AM131" s="141"/>
      <c r="AN131" s="141"/>
      <c r="AO131" s="141"/>
      <c r="AP131" s="141"/>
      <c r="AQ131" s="141"/>
      <c r="AR131" s="141"/>
      <c r="AS131" s="141"/>
      <c r="AT131" s="141"/>
      <c r="AU131" s="141"/>
      <c r="AV131" s="158"/>
    </row>
    <row r="132" ht="19.8" customHeight="1" spans="1:48">
      <c r="A132" s="141">
        <v>4</v>
      </c>
      <c r="B132" s="141"/>
      <c r="C132" s="141"/>
      <c r="D132" s="141" t="str">
        <f>IFERROR(VLOOKUP(A132,'产品订单（暂不含工业物料，待更新物料编码及装运信息）'!$C$10:$D$127,2,0),"")</f>
        <v>89209710903</v>
      </c>
      <c r="E132" s="191">
        <f t="shared" ref="E132:E141" si="36">VLOOKUP(D132,D12:N128,11,FALSE)</f>
        <v>22</v>
      </c>
      <c r="F132" s="141" t="str">
        <f t="shared" ref="F132:F141" si="37">VLOOKUP(D132,D12:N128,6,FALSE)</f>
        <v>出口海天牌苹果醋调味汁1.9L*6(越南公司用)(PET瓶)</v>
      </c>
      <c r="G132" s="141">
        <f t="shared" ref="G132:G141" si="38">VLOOKUP(D132,D12:N128,10,FALSE)</f>
        <v>10</v>
      </c>
      <c r="H132" s="141"/>
      <c r="I132" s="141"/>
      <c r="J132" s="335"/>
      <c r="K132" s="336"/>
      <c r="L132" s="337"/>
      <c r="M132" s="153"/>
      <c r="N132" s="153"/>
      <c r="O132" s="153"/>
      <c r="P132" s="217"/>
      <c r="Q132" s="217"/>
      <c r="R132" s="141"/>
      <c r="S132" s="153"/>
      <c r="T132" s="217"/>
      <c r="U132" s="217"/>
      <c r="V132" s="141"/>
      <c r="W132" s="141"/>
      <c r="X132" s="141"/>
      <c r="Y132" s="141"/>
      <c r="Z132" s="141"/>
      <c r="AA132" s="347"/>
      <c r="AB132" s="347"/>
      <c r="AC132" s="244"/>
      <c r="AD132" s="141"/>
      <c r="AE132" s="141"/>
      <c r="AF132" s="141"/>
      <c r="AG132" s="141"/>
      <c r="AH132" s="141"/>
      <c r="AI132" s="141"/>
      <c r="AJ132" s="141"/>
      <c r="AK132" s="141"/>
      <c r="AL132" s="141"/>
      <c r="AM132" s="141"/>
      <c r="AN132" s="141"/>
      <c r="AO132" s="141"/>
      <c r="AP132" s="141"/>
      <c r="AQ132" s="141"/>
      <c r="AR132" s="141"/>
      <c r="AS132" s="141"/>
      <c r="AT132" s="141"/>
      <c r="AU132" s="141"/>
      <c r="AV132" s="158"/>
    </row>
    <row r="133" customHeight="1" spans="1:54">
      <c r="A133" s="141">
        <v>5</v>
      </c>
      <c r="B133" s="141"/>
      <c r="C133" s="141"/>
      <c r="D133" s="141" t="str">
        <f>IFERROR(VLOOKUP(A133,'产品订单（暂不含工业物料，待更新物料编码及装运信息）'!$C$10:$D$127,2,0),"")</f>
        <v>89200710901</v>
      </c>
      <c r="E133" s="191">
        <f t="shared" si="36"/>
        <v>11</v>
      </c>
      <c r="F133" s="141" t="str">
        <f t="shared" si="37"/>
        <v>出口海天牌陈醋1.9L*6(越南公司用；1800工厂)(PET瓶)</v>
      </c>
      <c r="G133" s="141">
        <f t="shared" si="38"/>
        <v>1</v>
      </c>
      <c r="H133" s="141"/>
      <c r="I133" s="141"/>
      <c r="J133" s="335"/>
      <c r="K133" s="336"/>
      <c r="L133" s="337"/>
      <c r="M133" s="153"/>
      <c r="N133" s="153"/>
      <c r="O133" s="153"/>
      <c r="P133" s="217"/>
      <c r="Q133" s="217"/>
      <c r="R133" s="141"/>
      <c r="S133" s="153"/>
      <c r="T133" s="217"/>
      <c r="U133" s="217"/>
      <c r="V133" s="141"/>
      <c r="W133" s="141"/>
      <c r="X133" s="141"/>
      <c r="Y133" s="141"/>
      <c r="Z133" s="141"/>
      <c r="AA133" s="347"/>
      <c r="AB133" s="347"/>
      <c r="AC133" s="244"/>
      <c r="AD133" s="141"/>
      <c r="AE133" s="141"/>
      <c r="AF133" s="141"/>
      <c r="AG133" s="141"/>
      <c r="AH133" s="141"/>
      <c r="AI133" s="141"/>
      <c r="AJ133" s="141"/>
      <c r="AK133" s="141"/>
      <c r="AL133" s="141"/>
      <c r="AM133" s="141"/>
      <c r="AN133" s="141"/>
      <c r="AO133" s="141"/>
      <c r="AP133" s="141"/>
      <c r="AQ133" s="141"/>
      <c r="AR133" s="141"/>
      <c r="AS133" s="141"/>
      <c r="AT133" s="141"/>
      <c r="AU133" s="141"/>
      <c r="AV133" s="158"/>
      <c r="BB133" s="305"/>
    </row>
    <row r="134" ht="36" customHeight="1" spans="1:53">
      <c r="A134" s="141">
        <v>6</v>
      </c>
      <c r="B134" s="141"/>
      <c r="C134" s="141"/>
      <c r="D134" s="141" t="str">
        <f>IFERROR(VLOOKUP(A134,'产品订单（暂不含工业物料，待更新物料编码及装运信息）'!$C$10:$D$127,2,0),"")</f>
        <v/>
      </c>
      <c r="E134" s="191" t="e">
        <f t="shared" si="36"/>
        <v>#N/A</v>
      </c>
      <c r="F134" s="141" t="e">
        <f t="shared" si="37"/>
        <v>#N/A</v>
      </c>
      <c r="G134" s="141" t="e">
        <f t="shared" si="38"/>
        <v>#N/A</v>
      </c>
      <c r="H134" s="141"/>
      <c r="I134" s="141"/>
      <c r="J134" s="335"/>
      <c r="K134" s="338"/>
      <c r="L134" s="153"/>
      <c r="M134" s="153"/>
      <c r="N134" s="153"/>
      <c r="O134" s="153"/>
      <c r="P134" s="217"/>
      <c r="Q134" s="217"/>
      <c r="R134" s="141"/>
      <c r="S134" s="153"/>
      <c r="T134" s="217"/>
      <c r="U134" s="217"/>
      <c r="V134" s="141"/>
      <c r="W134" s="141"/>
      <c r="X134" s="141"/>
      <c r="Y134" s="141"/>
      <c r="Z134" s="153"/>
      <c r="AA134" s="347"/>
      <c r="AB134" s="244"/>
      <c r="AC134" s="244"/>
      <c r="AD134" s="141"/>
      <c r="AE134" s="141"/>
      <c r="AF134" s="141"/>
      <c r="AG134" s="141"/>
      <c r="AH134" s="141"/>
      <c r="AI134" s="141"/>
      <c r="AJ134" s="141"/>
      <c r="AK134" s="141"/>
      <c r="AL134" s="141"/>
      <c r="AM134" s="141"/>
      <c r="AN134" s="141"/>
      <c r="AO134" s="141"/>
      <c r="AP134" s="141"/>
      <c r="AQ134" s="141"/>
      <c r="AR134" s="141"/>
      <c r="AS134" s="141"/>
      <c r="AT134" s="141"/>
      <c r="AU134" s="141"/>
      <c r="BA134" s="305"/>
    </row>
    <row r="135" customHeight="1" spans="1:50">
      <c r="A135" s="141">
        <v>7</v>
      </c>
      <c r="B135" s="141"/>
      <c r="C135" s="141"/>
      <c r="D135" s="141" t="str">
        <f>IFERROR(VLOOKUP(A135,'产品订单（暂不含工业物料，待更新物料编码及装运信息）'!$C$10:$D$127,2,0),"")</f>
        <v/>
      </c>
      <c r="E135" s="191" t="e">
        <f t="shared" si="36"/>
        <v>#N/A</v>
      </c>
      <c r="F135" s="141" t="e">
        <f t="shared" si="37"/>
        <v>#N/A</v>
      </c>
      <c r="G135" s="141" t="e">
        <f t="shared" si="38"/>
        <v>#N/A</v>
      </c>
      <c r="H135" s="141"/>
      <c r="I135" s="141"/>
      <c r="J135" s="339"/>
      <c r="K135" s="340"/>
      <c r="L135" s="341"/>
      <c r="M135" s="341"/>
      <c r="N135" s="341"/>
      <c r="O135" s="341"/>
      <c r="P135" s="342"/>
      <c r="Q135" s="342"/>
      <c r="R135" s="294"/>
      <c r="S135" s="141"/>
      <c r="T135" s="141"/>
      <c r="U135" s="141"/>
      <c r="V135" s="141"/>
      <c r="W135" s="153"/>
      <c r="X135" s="153"/>
      <c r="Y135" s="141"/>
      <c r="Z135" s="141"/>
      <c r="AA135" s="244"/>
      <c r="AB135" s="244"/>
      <c r="AC135" s="244"/>
      <c r="AD135" s="141"/>
      <c r="AE135" s="141"/>
      <c r="AF135" s="141"/>
      <c r="AG135" s="141"/>
      <c r="AH135" s="141"/>
      <c r="AI135" s="141"/>
      <c r="AJ135" s="141"/>
      <c r="AK135" s="141"/>
      <c r="AL135" s="141"/>
      <c r="AM135" s="141"/>
      <c r="AN135" s="141"/>
      <c r="AO135" s="141"/>
      <c r="AP135" s="141"/>
      <c r="AQ135" s="141"/>
      <c r="AR135" s="141"/>
      <c r="AS135" s="141"/>
      <c r="AT135" s="141"/>
      <c r="AU135" s="141"/>
      <c r="AX135" s="305"/>
    </row>
    <row r="136" customHeight="1" spans="1:50">
      <c r="A136" s="141">
        <v>8</v>
      </c>
      <c r="B136" s="141"/>
      <c r="C136" s="141"/>
      <c r="D136" s="141" t="str">
        <f>IFERROR(VLOOKUP(A136,'产品订单（暂不含工业物料，待更新物料编码及装运信息）'!$C$10:$D$127,2,0),"")</f>
        <v/>
      </c>
      <c r="E136" s="191" t="e">
        <f t="shared" si="36"/>
        <v>#N/A</v>
      </c>
      <c r="F136" s="141" t="e">
        <f t="shared" si="37"/>
        <v>#N/A</v>
      </c>
      <c r="G136" s="141" t="e">
        <f t="shared" si="38"/>
        <v>#N/A</v>
      </c>
      <c r="H136" s="141"/>
      <c r="I136" s="141"/>
      <c r="K136" s="340"/>
      <c r="L136" s="341"/>
      <c r="M136" s="341"/>
      <c r="N136" s="341"/>
      <c r="O136" s="341"/>
      <c r="P136" s="342"/>
      <c r="Q136" s="342"/>
      <c r="R136" s="294"/>
      <c r="S136" s="141"/>
      <c r="T136" s="141"/>
      <c r="U136" s="141"/>
      <c r="V136" s="141"/>
      <c r="W136" s="153"/>
      <c r="X136" s="153"/>
      <c r="Y136" s="141"/>
      <c r="Z136" s="141"/>
      <c r="AA136" s="244"/>
      <c r="AB136" s="244"/>
      <c r="AC136" s="244"/>
      <c r="AD136" s="141"/>
      <c r="AE136" s="141"/>
      <c r="AF136" s="141"/>
      <c r="AG136" s="141"/>
      <c r="AH136" s="141"/>
      <c r="AI136" s="141"/>
      <c r="AJ136" s="141"/>
      <c r="AK136" s="141"/>
      <c r="AL136" s="141"/>
      <c r="AM136" s="141"/>
      <c r="AN136" s="141"/>
      <c r="AO136" s="141"/>
      <c r="AP136" s="141"/>
      <c r="AQ136" s="141"/>
      <c r="AR136" s="141"/>
      <c r="AS136" s="141"/>
      <c r="AT136" s="141"/>
      <c r="AU136" s="141"/>
      <c r="AX136" s="305"/>
    </row>
    <row r="137" customHeight="1" spans="1:50">
      <c r="A137" s="141">
        <v>9</v>
      </c>
      <c r="B137" s="141"/>
      <c r="C137" s="141"/>
      <c r="D137" s="141" t="str">
        <f>IFERROR(VLOOKUP(A137,'产品订单（暂不含工业物料，待更新物料编码及装运信息）'!$C$10:$D$127,2,0),"")</f>
        <v/>
      </c>
      <c r="E137" s="191" t="e">
        <f t="shared" si="36"/>
        <v>#N/A</v>
      </c>
      <c r="F137" s="141" t="e">
        <f t="shared" si="37"/>
        <v>#N/A</v>
      </c>
      <c r="G137" s="141" t="e">
        <f t="shared" si="38"/>
        <v>#N/A</v>
      </c>
      <c r="H137" s="330"/>
      <c r="I137" s="330"/>
      <c r="J137" s="333"/>
      <c r="K137" s="343"/>
      <c r="L137" s="333"/>
      <c r="M137" s="333"/>
      <c r="N137" s="333"/>
      <c r="O137" s="333"/>
      <c r="P137" s="333"/>
      <c r="Q137" s="333"/>
      <c r="R137" s="333"/>
      <c r="S137" s="141"/>
      <c r="T137" s="141"/>
      <c r="U137" s="141"/>
      <c r="V137" s="141"/>
      <c r="W137" s="153"/>
      <c r="X137" s="153"/>
      <c r="Y137" s="141"/>
      <c r="Z137" s="141"/>
      <c r="AA137" s="244"/>
      <c r="AB137" s="244"/>
      <c r="AC137" s="244"/>
      <c r="AD137" s="141"/>
      <c r="AE137" s="141"/>
      <c r="AF137" s="141"/>
      <c r="AG137" s="141"/>
      <c r="AH137" s="141"/>
      <c r="AI137" s="141"/>
      <c r="AJ137" s="141"/>
      <c r="AK137" s="141"/>
      <c r="AL137" s="141"/>
      <c r="AM137" s="141"/>
      <c r="AN137" s="141"/>
      <c r="AO137" s="141"/>
      <c r="AP137" s="141"/>
      <c r="AQ137" s="141"/>
      <c r="AR137" s="141"/>
      <c r="AS137" s="141"/>
      <c r="AT137" s="141"/>
      <c r="AU137" s="141"/>
      <c r="AX137" s="305"/>
    </row>
    <row r="138" customHeight="1" spans="1:50">
      <c r="A138" s="141">
        <v>10</v>
      </c>
      <c r="B138" s="141"/>
      <c r="C138" s="141"/>
      <c r="D138" s="141" t="str">
        <f>IFERROR(VLOOKUP(A138,'产品订单（暂不含工业物料，待更新物料编码及装运信息）'!$C$10:$D$127,2,0),"")</f>
        <v/>
      </c>
      <c r="E138" s="191">
        <f t="shared" si="36"/>
        <v>0</v>
      </c>
      <c r="F138" s="141">
        <f t="shared" si="37"/>
        <v>0</v>
      </c>
      <c r="G138" s="141">
        <f t="shared" si="38"/>
        <v>0</v>
      </c>
      <c r="H138" s="330"/>
      <c r="I138" s="330"/>
      <c r="J138" s="333"/>
      <c r="K138" s="333"/>
      <c r="L138" s="333"/>
      <c r="M138" s="333"/>
      <c r="N138" s="333"/>
      <c r="O138" s="333"/>
      <c r="P138" s="333"/>
      <c r="Q138" s="333"/>
      <c r="R138" s="333"/>
      <c r="S138" s="141"/>
      <c r="T138" s="141"/>
      <c r="U138" s="141"/>
      <c r="V138" s="141"/>
      <c r="W138" s="153"/>
      <c r="X138" s="153"/>
      <c r="Y138" s="141"/>
      <c r="Z138" s="141"/>
      <c r="AA138" s="244"/>
      <c r="AB138" s="244"/>
      <c r="AC138" s="244"/>
      <c r="AD138" s="141"/>
      <c r="AE138" s="141"/>
      <c r="AF138" s="141"/>
      <c r="AG138" s="141"/>
      <c r="AH138" s="141"/>
      <c r="AI138" s="141"/>
      <c r="AJ138" s="141"/>
      <c r="AK138" s="141"/>
      <c r="AL138" s="141"/>
      <c r="AM138" s="141"/>
      <c r="AN138" s="141"/>
      <c r="AO138" s="141"/>
      <c r="AP138" s="141"/>
      <c r="AQ138" s="141"/>
      <c r="AR138" s="141"/>
      <c r="AS138" s="141"/>
      <c r="AT138" s="141"/>
      <c r="AU138" s="141"/>
      <c r="AX138" s="305"/>
    </row>
    <row r="139" ht="20.25" customHeight="1" spans="1:50">
      <c r="A139" s="141">
        <v>11</v>
      </c>
      <c r="B139" s="141"/>
      <c r="C139" s="141"/>
      <c r="D139" s="141" t="str">
        <f>IFERROR(VLOOKUP(A139,'产品订单（暂不含工业物料，待更新物料编码及装运信息）'!$C$10:$D$127,2,0),"")</f>
        <v/>
      </c>
      <c r="E139" s="191">
        <f t="shared" si="36"/>
        <v>0</v>
      </c>
      <c r="F139" s="141">
        <f t="shared" si="37"/>
        <v>0</v>
      </c>
      <c r="G139" s="141">
        <f t="shared" si="38"/>
        <v>0</v>
      </c>
      <c r="H139" s="330"/>
      <c r="I139" s="330"/>
      <c r="J139" s="333"/>
      <c r="K139" s="333"/>
      <c r="L139" s="333"/>
      <c r="M139" s="333"/>
      <c r="N139" s="333"/>
      <c r="O139" s="333"/>
      <c r="P139" s="333"/>
      <c r="Q139" s="333"/>
      <c r="R139" s="333"/>
      <c r="S139" s="141"/>
      <c r="T139" s="141"/>
      <c r="U139" s="141"/>
      <c r="V139" s="141"/>
      <c r="W139" s="153"/>
      <c r="X139" s="153"/>
      <c r="Y139" s="141"/>
      <c r="Z139" s="141"/>
      <c r="AA139" s="244"/>
      <c r="AB139" s="244"/>
      <c r="AC139" s="244"/>
      <c r="AD139" s="141"/>
      <c r="AE139" s="141"/>
      <c r="AF139" s="141"/>
      <c r="AG139" s="141"/>
      <c r="AH139" s="141"/>
      <c r="AI139" s="141"/>
      <c r="AJ139" s="141"/>
      <c r="AK139" s="141"/>
      <c r="AL139" s="141"/>
      <c r="AM139" s="141"/>
      <c r="AN139" s="141"/>
      <c r="AO139" s="141"/>
      <c r="AP139" s="141"/>
      <c r="AQ139" s="141"/>
      <c r="AR139" s="141"/>
      <c r="AS139" s="141"/>
      <c r="AT139" s="141"/>
      <c r="AU139" s="141"/>
      <c r="AX139" s="305"/>
    </row>
    <row r="140" customHeight="1" spans="1:47">
      <c r="A140" s="141">
        <v>12</v>
      </c>
      <c r="B140" s="141"/>
      <c r="C140" s="141"/>
      <c r="D140" s="141" t="str">
        <f>IFERROR(VLOOKUP(A140,'产品订单（暂不含工业物料，待更新物料编码及装运信息）'!$C$10:$D$127,2,0),"")</f>
        <v/>
      </c>
      <c r="E140" s="191">
        <f t="shared" si="36"/>
        <v>0</v>
      </c>
      <c r="F140" s="141">
        <f t="shared" si="37"/>
        <v>0</v>
      </c>
      <c r="G140" s="141">
        <f t="shared" si="38"/>
        <v>0</v>
      </c>
      <c r="H140" s="330"/>
      <c r="I140" s="330"/>
      <c r="J140" s="333"/>
      <c r="K140" s="333"/>
      <c r="L140" s="333"/>
      <c r="M140" s="333"/>
      <c r="N140" s="333"/>
      <c r="O140" s="333"/>
      <c r="P140" s="333"/>
      <c r="Q140" s="333"/>
      <c r="R140" s="333"/>
      <c r="S140" s="141"/>
      <c r="T140" s="141"/>
      <c r="U140" s="141"/>
      <c r="V140" s="141"/>
      <c r="W140" s="153"/>
      <c r="X140" s="153"/>
      <c r="Y140" s="141"/>
      <c r="Z140" s="141"/>
      <c r="AA140" s="244"/>
      <c r="AB140" s="244"/>
      <c r="AC140" s="244"/>
      <c r="AD140" s="141"/>
      <c r="AE140" s="141"/>
      <c r="AF140" s="141"/>
      <c r="AG140" s="141"/>
      <c r="AH140" s="141"/>
      <c r="AI140" s="141"/>
      <c r="AJ140" s="141"/>
      <c r="AK140" s="141"/>
      <c r="AL140" s="141"/>
      <c r="AM140" s="141"/>
      <c r="AN140" s="141"/>
      <c r="AO140" s="141"/>
      <c r="AP140" s="141"/>
      <c r="AQ140" s="141"/>
      <c r="AR140" s="141"/>
      <c r="AS140" s="141"/>
      <c r="AT140" s="141"/>
      <c r="AU140" s="141"/>
    </row>
    <row r="141" customHeight="1" spans="1:50">
      <c r="A141" s="294"/>
      <c r="B141" s="294"/>
      <c r="C141" s="294"/>
      <c r="D141" s="141" t="str">
        <f>IFERROR(VLOOKUP(A141,'产品订单（暂不含工业物料，待更新物料编码及装运信息）'!$C$10:$D$127,2,0),"")</f>
        <v/>
      </c>
      <c r="E141" s="191"/>
      <c r="F141" s="141"/>
      <c r="G141" s="141"/>
      <c r="H141" s="331"/>
      <c r="I141" s="331"/>
      <c r="J141" s="333"/>
      <c r="K141" s="333"/>
      <c r="L141" s="333"/>
      <c r="M141" s="333"/>
      <c r="N141" s="333"/>
      <c r="O141" s="333"/>
      <c r="P141" s="333"/>
      <c r="Q141" s="333"/>
      <c r="R141" s="333"/>
      <c r="S141" s="294"/>
      <c r="T141" s="294"/>
      <c r="U141" s="294"/>
      <c r="V141" s="294"/>
      <c r="W141" s="346"/>
      <c r="X141" s="341"/>
      <c r="Y141" s="294"/>
      <c r="Z141" s="294"/>
      <c r="AM141" s="158"/>
      <c r="AN141" s="158"/>
      <c r="AS141" s="294"/>
      <c r="AT141" s="294"/>
      <c r="AX141" s="305"/>
    </row>
    <row r="142" customHeight="1" spans="1:50">
      <c r="A142" s="294"/>
      <c r="B142" s="294"/>
      <c r="C142" s="294"/>
      <c r="G142" s="294"/>
      <c r="H142" s="294"/>
      <c r="I142" s="294"/>
      <c r="L142" s="341"/>
      <c r="M142" s="341"/>
      <c r="N142" s="341"/>
      <c r="O142" s="341"/>
      <c r="P142" s="342"/>
      <c r="Q142" s="342"/>
      <c r="R142" s="294"/>
      <c r="S142" s="294"/>
      <c r="T142" s="294"/>
      <c r="U142" s="294"/>
      <c r="V142" s="294"/>
      <c r="W142" s="346"/>
      <c r="X142" s="341"/>
      <c r="Y142" s="294"/>
      <c r="Z142" s="294"/>
      <c r="AM142" s="158"/>
      <c r="AN142" s="158"/>
      <c r="AS142" s="294"/>
      <c r="AT142" s="294"/>
      <c r="AX142" s="305"/>
    </row>
    <row r="143" customHeight="1" spans="1:46">
      <c r="A143" s="294"/>
      <c r="B143" s="294"/>
      <c r="C143" s="294"/>
      <c r="L143" s="341"/>
      <c r="M143" s="341"/>
      <c r="N143" s="341"/>
      <c r="O143" s="341"/>
      <c r="P143" s="342"/>
      <c r="Q143" s="342"/>
      <c r="R143" s="294"/>
      <c r="S143" s="294"/>
      <c r="T143" s="294"/>
      <c r="U143" s="294"/>
      <c r="V143" s="294"/>
      <c r="Y143" s="294"/>
      <c r="Z143" s="294"/>
      <c r="AD143" s="158"/>
      <c r="AE143" s="158"/>
      <c r="AF143" s="158"/>
      <c r="AG143" s="158"/>
      <c r="AH143" s="158"/>
      <c r="AI143" s="158"/>
      <c r="AJ143" s="158"/>
      <c r="AO143" s="294"/>
      <c r="AP143" s="294"/>
      <c r="AQ143" s="294"/>
      <c r="AR143" s="294"/>
      <c r="AS143" s="294"/>
      <c r="AT143" s="294"/>
    </row>
    <row r="144" customHeight="1" spans="1:46">
      <c r="A144" s="294"/>
      <c r="B144" s="294"/>
      <c r="C144" s="294"/>
      <c r="L144" s="341"/>
      <c r="M144" s="341"/>
      <c r="N144" s="341"/>
      <c r="O144" s="341"/>
      <c r="P144" s="342"/>
      <c r="Q144" s="342"/>
      <c r="R144" s="294"/>
      <c r="S144" s="294"/>
      <c r="T144" s="294"/>
      <c r="U144" s="294"/>
      <c r="V144" s="294"/>
      <c r="Y144" s="294"/>
      <c r="Z144" s="294"/>
      <c r="AD144" s="158"/>
      <c r="AE144" s="158"/>
      <c r="AF144" s="158"/>
      <c r="AG144" s="158"/>
      <c r="AH144" s="158"/>
      <c r="AI144" s="158"/>
      <c r="AJ144" s="158"/>
      <c r="AO144" s="294"/>
      <c r="AP144" s="294"/>
      <c r="AQ144" s="294"/>
      <c r="AR144" s="294"/>
      <c r="AS144" s="294"/>
      <c r="AT144" s="294"/>
    </row>
    <row r="145" customHeight="1" spans="1:46">
      <c r="A145" s="294"/>
      <c r="B145" s="294"/>
      <c r="C145" s="294"/>
      <c r="L145" s="341"/>
      <c r="M145" s="341"/>
      <c r="N145" s="341"/>
      <c r="O145" s="341"/>
      <c r="P145" s="342"/>
      <c r="Q145" s="342"/>
      <c r="R145" s="294"/>
      <c r="S145" s="294"/>
      <c r="T145" s="294"/>
      <c r="U145" s="294"/>
      <c r="V145" s="294"/>
      <c r="Y145" s="294"/>
      <c r="Z145" s="294"/>
      <c r="AD145" s="158"/>
      <c r="AE145" s="158"/>
      <c r="AF145" s="158"/>
      <c r="AG145" s="158"/>
      <c r="AH145" s="158"/>
      <c r="AI145" s="158"/>
      <c r="AJ145" s="158"/>
      <c r="AO145" s="294"/>
      <c r="AP145" s="294"/>
      <c r="AQ145" s="294"/>
      <c r="AR145" s="294"/>
      <c r="AS145" s="294"/>
      <c r="AT145" s="294"/>
    </row>
    <row r="146" customHeight="1" spans="1:46">
      <c r="A146" s="294"/>
      <c r="B146" s="294"/>
      <c r="C146" s="294"/>
      <c r="L146" s="341"/>
      <c r="M146" s="341"/>
      <c r="N146" s="341"/>
      <c r="O146" s="341"/>
      <c r="P146" s="342"/>
      <c r="Q146" s="342"/>
      <c r="R146" s="294"/>
      <c r="S146" s="294"/>
      <c r="T146" s="294"/>
      <c r="U146" s="294"/>
      <c r="V146" s="294"/>
      <c r="Y146" s="294"/>
      <c r="Z146" s="294"/>
      <c r="AD146" s="158"/>
      <c r="AE146" s="158"/>
      <c r="AF146" s="158"/>
      <c r="AG146" s="158"/>
      <c r="AH146" s="158"/>
      <c r="AI146" s="158"/>
      <c r="AJ146" s="158"/>
      <c r="AO146" s="294"/>
      <c r="AP146" s="294"/>
      <c r="AQ146" s="294"/>
      <c r="AR146" s="294"/>
      <c r="AS146" s="294"/>
      <c r="AT146" s="294"/>
    </row>
    <row r="147" customHeight="1" spans="1:46">
      <c r="A147" s="332" t="s">
        <v>1558</v>
      </c>
      <c r="B147" s="294"/>
      <c r="C147" s="294"/>
      <c r="L147" s="341"/>
      <c r="M147" s="341"/>
      <c r="N147" s="341"/>
      <c r="O147" s="341"/>
      <c r="P147" s="342"/>
      <c r="Q147" s="342"/>
      <c r="R147" s="294"/>
      <c r="S147" s="294"/>
      <c r="T147" s="294"/>
      <c r="U147" s="294"/>
      <c r="V147" s="294"/>
      <c r="Y147" s="294"/>
      <c r="Z147" s="294"/>
      <c r="AD147" s="158"/>
      <c r="AE147" s="158"/>
      <c r="AF147" s="158"/>
      <c r="AG147" s="158"/>
      <c r="AH147" s="158"/>
      <c r="AI147" s="158"/>
      <c r="AJ147" s="158"/>
      <c r="AO147" s="294"/>
      <c r="AP147" s="294"/>
      <c r="AQ147" s="294"/>
      <c r="AR147" s="294"/>
      <c r="AS147" s="294"/>
      <c r="AT147" s="294"/>
    </row>
    <row r="148" customHeight="1" spans="1:46">
      <c r="A148" s="294"/>
      <c r="B148" s="294"/>
      <c r="C148" s="294"/>
      <c r="G148" s="294"/>
      <c r="H148" s="294"/>
      <c r="I148" s="294"/>
      <c r="L148" s="341"/>
      <c r="M148" s="341"/>
      <c r="N148" s="341"/>
      <c r="O148" s="341"/>
      <c r="P148" s="342"/>
      <c r="Q148" s="342"/>
      <c r="R148" s="294"/>
      <c r="S148" s="294"/>
      <c r="T148" s="294"/>
      <c r="U148" s="294"/>
      <c r="V148" s="294"/>
      <c r="W148" s="346"/>
      <c r="X148" s="341"/>
      <c r="Y148" s="294"/>
      <c r="Z148" s="294"/>
      <c r="AM148" s="158"/>
      <c r="AN148" s="158"/>
      <c r="AS148" s="294"/>
      <c r="AT148" s="294"/>
    </row>
    <row r="149" customHeight="1" spans="1:46">
      <c r="A149" s="294"/>
      <c r="B149" s="294"/>
      <c r="C149" s="294"/>
      <c r="G149" s="294"/>
      <c r="H149" s="294"/>
      <c r="I149" s="294"/>
      <c r="L149" s="341"/>
      <c r="M149" s="341"/>
      <c r="N149" s="341"/>
      <c r="O149" s="341"/>
      <c r="P149" s="342"/>
      <c r="Q149" s="342"/>
      <c r="R149" s="294"/>
      <c r="S149" s="294"/>
      <c r="T149" s="294"/>
      <c r="U149" s="294"/>
      <c r="V149" s="294"/>
      <c r="W149" s="346"/>
      <c r="X149" s="341"/>
      <c r="Y149" s="294"/>
      <c r="Z149" s="294"/>
      <c r="AM149" s="158"/>
      <c r="AN149" s="158"/>
      <c r="AS149" s="294"/>
      <c r="AT149" s="294"/>
    </row>
    <row r="150" customHeight="1" spans="1:46">
      <c r="A150" s="294"/>
      <c r="B150" s="294"/>
      <c r="C150" s="294"/>
      <c r="G150" s="294"/>
      <c r="H150" s="294"/>
      <c r="I150" s="294"/>
      <c r="L150" s="341"/>
      <c r="M150" s="341"/>
      <c r="N150" s="341"/>
      <c r="O150" s="341"/>
      <c r="P150" s="342"/>
      <c r="Q150" s="342"/>
      <c r="R150" s="294"/>
      <c r="S150" s="294"/>
      <c r="T150" s="294"/>
      <c r="U150" s="294"/>
      <c r="V150" s="294"/>
      <c r="W150" s="346"/>
      <c r="X150" s="341"/>
      <c r="Y150" s="294"/>
      <c r="Z150" s="294"/>
      <c r="AM150" s="158"/>
      <c r="AN150" s="158"/>
      <c r="AS150" s="294"/>
      <c r="AT150" s="294"/>
    </row>
    <row r="151" customHeight="1" spans="1:46">
      <c r="A151" s="294"/>
      <c r="B151" s="294"/>
      <c r="C151" s="294"/>
      <c r="G151" s="294"/>
      <c r="H151" s="294"/>
      <c r="I151" s="294"/>
      <c r="L151" s="341"/>
      <c r="M151" s="341"/>
      <c r="N151" s="341"/>
      <c r="O151" s="341"/>
      <c r="P151" s="342"/>
      <c r="Q151" s="342"/>
      <c r="R151" s="294"/>
      <c r="S151" s="294"/>
      <c r="T151" s="294"/>
      <c r="U151" s="294"/>
      <c r="V151" s="294"/>
      <c r="W151" s="346"/>
      <c r="X151" s="341"/>
      <c r="Y151" s="294"/>
      <c r="Z151" s="294"/>
      <c r="AM151" s="158"/>
      <c r="AN151" s="158"/>
      <c r="AS151" s="294"/>
      <c r="AT151" s="294"/>
    </row>
    <row r="152" customHeight="1" spans="1:46">
      <c r="A152" s="294"/>
      <c r="B152" s="294"/>
      <c r="C152" s="294"/>
      <c r="G152" s="294"/>
      <c r="H152" s="294"/>
      <c r="I152" s="294"/>
      <c r="L152" s="341"/>
      <c r="M152" s="341"/>
      <c r="N152" s="341"/>
      <c r="O152" s="341"/>
      <c r="P152" s="342"/>
      <c r="Q152" s="342"/>
      <c r="R152" s="294"/>
      <c r="S152" s="294"/>
      <c r="T152" s="294"/>
      <c r="U152" s="294"/>
      <c r="V152" s="294"/>
      <c r="W152" s="346"/>
      <c r="X152" s="341"/>
      <c r="Y152" s="294"/>
      <c r="Z152" s="294"/>
      <c r="AM152" s="158"/>
      <c r="AN152" s="158"/>
      <c r="AS152" s="294"/>
      <c r="AT152" s="294"/>
    </row>
    <row r="153" customHeight="1" spans="1:46">
      <c r="A153" s="294"/>
      <c r="B153" s="294"/>
      <c r="C153" s="294"/>
      <c r="G153" s="294"/>
      <c r="H153" s="294"/>
      <c r="I153" s="294"/>
      <c r="L153" s="341"/>
      <c r="M153" s="341"/>
      <c r="N153" s="341"/>
      <c r="O153" s="341"/>
      <c r="P153" s="342"/>
      <c r="Q153" s="342"/>
      <c r="R153" s="294"/>
      <c r="S153" s="294"/>
      <c r="T153" s="294"/>
      <c r="U153" s="294"/>
      <c r="V153" s="294"/>
      <c r="W153" s="346"/>
      <c r="X153" s="341"/>
      <c r="Y153" s="294"/>
      <c r="Z153" s="294"/>
      <c r="AM153" s="158"/>
      <c r="AN153" s="158"/>
      <c r="AS153" s="294"/>
      <c r="AT153" s="294"/>
    </row>
    <row r="154" customHeight="1" spans="1:46">
      <c r="A154" s="294"/>
      <c r="B154" s="294"/>
      <c r="C154" s="294"/>
      <c r="G154" s="294"/>
      <c r="H154" s="294"/>
      <c r="I154" s="294"/>
      <c r="L154" s="341"/>
      <c r="M154" s="341"/>
      <c r="N154" s="341"/>
      <c r="O154" s="341"/>
      <c r="P154" s="342"/>
      <c r="Q154" s="342"/>
      <c r="R154" s="294"/>
      <c r="S154" s="294"/>
      <c r="T154" s="294"/>
      <c r="U154" s="294"/>
      <c r="V154" s="294"/>
      <c r="W154" s="346"/>
      <c r="X154" s="341"/>
      <c r="Y154" s="294"/>
      <c r="Z154" s="294"/>
      <c r="AM154" s="158"/>
      <c r="AN154" s="158"/>
      <c r="AS154" s="294"/>
      <c r="AT154" s="294"/>
    </row>
    <row r="155" customHeight="1" spans="1:50">
      <c r="A155" s="294"/>
      <c r="B155" s="294"/>
      <c r="C155" s="294"/>
      <c r="G155" s="294"/>
      <c r="H155" s="294"/>
      <c r="I155" s="294"/>
      <c r="L155" s="341"/>
      <c r="M155" s="341"/>
      <c r="N155" s="341"/>
      <c r="O155" s="341"/>
      <c r="P155" s="342"/>
      <c r="Q155" s="342"/>
      <c r="R155" s="294"/>
      <c r="S155" s="294"/>
      <c r="T155" s="294"/>
      <c r="U155" s="294"/>
      <c r="V155" s="294"/>
      <c r="W155" s="346"/>
      <c r="X155" s="341"/>
      <c r="Y155" s="294"/>
      <c r="Z155" s="294"/>
      <c r="AM155" s="158"/>
      <c r="AN155" s="158"/>
      <c r="AS155" s="294"/>
      <c r="AT155" s="294"/>
      <c r="AW155" s="350"/>
      <c r="AX155" s="350"/>
    </row>
    <row r="156" customHeight="1" spans="1:50">
      <c r="A156" s="294"/>
      <c r="B156" s="294"/>
      <c r="C156" s="294"/>
      <c r="G156" s="294"/>
      <c r="H156" s="294"/>
      <c r="I156" s="294"/>
      <c r="L156" s="341"/>
      <c r="M156" s="341"/>
      <c r="N156" s="341"/>
      <c r="O156" s="341"/>
      <c r="P156" s="342"/>
      <c r="Q156" s="342"/>
      <c r="R156" s="294"/>
      <c r="S156" s="294"/>
      <c r="T156" s="294"/>
      <c r="U156" s="294"/>
      <c r="V156" s="294"/>
      <c r="W156" s="346"/>
      <c r="X156" s="341"/>
      <c r="Y156" s="294"/>
      <c r="Z156" s="294"/>
      <c r="AM156" s="158"/>
      <c r="AN156" s="158"/>
      <c r="AS156" s="294"/>
      <c r="AT156" s="294"/>
      <c r="AW156" s="350"/>
      <c r="AX156" s="350"/>
    </row>
    <row r="157" customHeight="1" spans="1:46">
      <c r="A157" s="294"/>
      <c r="B157" s="294"/>
      <c r="C157" s="294"/>
      <c r="G157" s="294"/>
      <c r="H157" s="294"/>
      <c r="I157" s="294"/>
      <c r="L157" s="341"/>
      <c r="S157" s="294"/>
      <c r="T157" s="294"/>
      <c r="U157" s="294"/>
      <c r="V157" s="294"/>
      <c r="W157" s="346"/>
      <c r="X157" s="341"/>
      <c r="Y157" s="294"/>
      <c r="Z157" s="294"/>
      <c r="AM157" s="158"/>
      <c r="AN157" s="158"/>
      <c r="AS157" s="294"/>
      <c r="AT157" s="294"/>
    </row>
    <row r="158" customHeight="1" spans="1:46">
      <c r="A158" s="294"/>
      <c r="B158" s="294"/>
      <c r="C158" s="294"/>
      <c r="G158" s="294"/>
      <c r="H158" s="294"/>
      <c r="I158" s="294"/>
      <c r="S158" s="294"/>
      <c r="T158" s="294"/>
      <c r="U158" s="294"/>
      <c r="V158" s="294"/>
      <c r="W158" s="346"/>
      <c r="X158" s="341"/>
      <c r="Y158" s="294"/>
      <c r="Z158" s="294"/>
      <c r="AM158" s="158"/>
      <c r="AN158" s="158"/>
      <c r="AS158" s="294"/>
      <c r="AT158" s="294"/>
    </row>
    <row r="159" customHeight="1" spans="1:46">
      <c r="A159" s="294"/>
      <c r="B159" s="294"/>
      <c r="C159" s="294"/>
      <c r="G159" s="294"/>
      <c r="H159" s="294"/>
      <c r="I159" s="294"/>
      <c r="S159" s="294"/>
      <c r="T159" s="294"/>
      <c r="U159" s="294"/>
      <c r="V159" s="294"/>
      <c r="W159" s="346"/>
      <c r="X159" s="341"/>
      <c r="Y159" s="294"/>
      <c r="Z159" s="294"/>
      <c r="AM159" s="158"/>
      <c r="AN159" s="158"/>
      <c r="AS159" s="294"/>
      <c r="AT159" s="294"/>
    </row>
    <row r="160" customHeight="1" spans="1:46">
      <c r="A160" s="294"/>
      <c r="B160" s="294"/>
      <c r="C160" s="294"/>
      <c r="G160" s="294"/>
      <c r="H160" s="294"/>
      <c r="I160" s="294"/>
      <c r="S160" s="294"/>
      <c r="T160" s="294"/>
      <c r="U160" s="294"/>
      <c r="V160" s="294"/>
      <c r="W160" s="346"/>
      <c r="X160" s="341"/>
      <c r="Y160" s="294"/>
      <c r="Z160" s="294"/>
      <c r="AM160" s="158"/>
      <c r="AN160" s="158"/>
      <c r="AS160" s="294"/>
      <c r="AT160" s="294"/>
    </row>
    <row r="161" customHeight="1" spans="1:46">
      <c r="A161" s="294"/>
      <c r="B161" s="294"/>
      <c r="C161" s="294"/>
      <c r="G161" s="294"/>
      <c r="H161" s="294"/>
      <c r="I161" s="294"/>
      <c r="S161" s="294"/>
      <c r="T161" s="294"/>
      <c r="U161" s="294"/>
      <c r="V161" s="294"/>
      <c r="W161" s="346"/>
      <c r="X161" s="341"/>
      <c r="Y161" s="294"/>
      <c r="Z161" s="294"/>
      <c r="AM161" s="158"/>
      <c r="AN161" s="158"/>
      <c r="AS161" s="294"/>
      <c r="AT161" s="294"/>
    </row>
    <row r="162" customHeight="1" spans="1:46">
      <c r="A162" s="294"/>
      <c r="B162" s="294"/>
      <c r="C162" s="294"/>
      <c r="S162" s="294"/>
      <c r="T162" s="294"/>
      <c r="U162" s="294"/>
      <c r="AM162" s="158"/>
      <c r="AN162" s="158"/>
      <c r="AS162" s="294"/>
      <c r="AT162" s="294"/>
    </row>
    <row r="163" customHeight="1" spans="1:46">
      <c r="A163" s="294"/>
      <c r="B163" s="294"/>
      <c r="C163" s="294"/>
      <c r="AM163" s="158"/>
      <c r="AN163" s="158"/>
      <c r="AS163" s="294"/>
      <c r="AT163" s="294"/>
    </row>
    <row r="164" customHeight="1" spans="1:46">
      <c r="A164" s="294"/>
      <c r="B164" s="294"/>
      <c r="C164" s="294"/>
      <c r="AM164" s="158"/>
      <c r="AN164" s="158"/>
      <c r="AS164" s="294"/>
      <c r="AT164" s="294"/>
    </row>
    <row r="165" customHeight="1" spans="1:46">
      <c r="A165" s="294"/>
      <c r="B165" s="294"/>
      <c r="C165" s="294"/>
      <c r="J165" s="294"/>
      <c r="K165" s="294"/>
      <c r="L165" s="294"/>
      <c r="M165" s="294"/>
      <c r="N165" s="294"/>
      <c r="O165" s="294"/>
      <c r="P165" s="342"/>
      <c r="Q165" s="342"/>
      <c r="R165" s="294"/>
      <c r="AM165" s="158"/>
      <c r="AN165" s="158"/>
      <c r="AS165" s="294"/>
      <c r="AT165" s="294"/>
    </row>
    <row r="166" customHeight="1" spans="1:46">
      <c r="A166" s="294"/>
      <c r="B166" s="294"/>
      <c r="C166" s="294"/>
      <c r="P166" s="342"/>
      <c r="Q166" s="342"/>
      <c r="R166" s="294"/>
      <c r="AM166" s="158"/>
      <c r="AN166" s="158"/>
      <c r="AS166" s="294"/>
      <c r="AT166" s="294"/>
    </row>
    <row r="167" customHeight="1" spans="1:46">
      <c r="A167" s="294"/>
      <c r="B167" s="294"/>
      <c r="C167" s="294"/>
      <c r="P167" s="342"/>
      <c r="Q167" s="342"/>
      <c r="R167" s="294"/>
      <c r="AM167" s="158"/>
      <c r="AN167" s="158"/>
      <c r="AS167" s="294"/>
      <c r="AT167" s="294"/>
    </row>
    <row r="168" customHeight="1" spans="1:46">
      <c r="A168" s="294"/>
      <c r="B168" s="294"/>
      <c r="C168" s="294"/>
      <c r="P168" s="342"/>
      <c r="Q168" s="342"/>
      <c r="R168" s="294"/>
      <c r="AM168" s="158"/>
      <c r="AN168" s="158"/>
      <c r="AS168" s="294"/>
      <c r="AT168" s="294"/>
    </row>
    <row r="169" customHeight="1" spans="1:46">
      <c r="A169" s="294"/>
      <c r="B169" s="294"/>
      <c r="C169" s="294"/>
      <c r="P169" s="342"/>
      <c r="Q169" s="342"/>
      <c r="R169" s="294"/>
      <c r="AM169" s="158"/>
      <c r="AN169" s="158"/>
      <c r="AS169" s="294"/>
      <c r="AT169" s="294"/>
    </row>
    <row r="170" customHeight="1" spans="1:46">
      <c r="A170" s="294"/>
      <c r="B170" s="294"/>
      <c r="C170" s="294"/>
      <c r="G170" s="294"/>
      <c r="H170" s="294"/>
      <c r="I170" s="294"/>
      <c r="P170" s="342"/>
      <c r="Q170" s="342"/>
      <c r="R170" s="294"/>
      <c r="V170" s="294"/>
      <c r="Y170" s="294"/>
      <c r="Z170" s="294"/>
      <c r="AM170" s="158"/>
      <c r="AN170" s="158"/>
      <c r="AS170" s="294"/>
      <c r="AT170" s="294"/>
    </row>
    <row r="171" s="134" customFormat="1" customHeight="1" spans="1:50">
      <c r="A171" s="294"/>
      <c r="B171" s="294"/>
      <c r="C171" s="294"/>
      <c r="D171" s="333"/>
      <c r="E171" s="333"/>
      <c r="F171" s="333"/>
      <c r="G171" s="294"/>
      <c r="H171" s="294"/>
      <c r="I171" s="294"/>
      <c r="J171" s="136"/>
      <c r="K171" s="136"/>
      <c r="L171" s="136"/>
      <c r="M171" s="136"/>
      <c r="N171" s="136"/>
      <c r="O171" s="136"/>
      <c r="P171" s="342"/>
      <c r="Q171" s="342"/>
      <c r="R171" s="294"/>
      <c r="S171" s="294"/>
      <c r="T171" s="294"/>
      <c r="U171" s="294"/>
      <c r="V171" s="294"/>
      <c r="W171" s="294"/>
      <c r="X171" s="294"/>
      <c r="Y171" s="294"/>
      <c r="Z171" s="294"/>
      <c r="AA171" s="348"/>
      <c r="AB171" s="348"/>
      <c r="AC171" s="348"/>
      <c r="AD171" s="294"/>
      <c r="AE171" s="294"/>
      <c r="AF171" s="294"/>
      <c r="AG171" s="294"/>
      <c r="AH171" s="294"/>
      <c r="AI171" s="294"/>
      <c r="AJ171" s="294"/>
      <c r="AK171" s="294"/>
      <c r="AL171" s="294"/>
      <c r="AM171" s="158"/>
      <c r="AN171" s="158"/>
      <c r="AO171" s="158"/>
      <c r="AP171" s="158"/>
      <c r="AQ171" s="158"/>
      <c r="AR171" s="349"/>
      <c r="AT171" s="294"/>
      <c r="AW171" s="294"/>
      <c r="AX171" s="294"/>
    </row>
    <row r="172" customHeight="1" spans="1:46">
      <c r="A172" s="294"/>
      <c r="B172" s="294"/>
      <c r="C172" s="294"/>
      <c r="G172" s="294"/>
      <c r="H172" s="294"/>
      <c r="I172" s="294"/>
      <c r="P172" s="342"/>
      <c r="Q172" s="342"/>
      <c r="R172" s="294"/>
      <c r="S172" s="294"/>
      <c r="T172" s="294"/>
      <c r="U172" s="294"/>
      <c r="V172" s="294"/>
      <c r="Y172" s="294"/>
      <c r="Z172" s="294"/>
      <c r="AM172" s="158"/>
      <c r="AN172" s="158"/>
      <c r="AS172" s="294"/>
      <c r="AT172" s="294"/>
    </row>
    <row r="173" customHeight="1" spans="1:46">
      <c r="A173" s="294"/>
      <c r="B173" s="294"/>
      <c r="C173" s="294"/>
      <c r="G173" s="294"/>
      <c r="H173" s="294"/>
      <c r="I173" s="294"/>
      <c r="P173" s="342"/>
      <c r="Q173" s="342"/>
      <c r="R173" s="294"/>
      <c r="S173" s="294"/>
      <c r="T173" s="294"/>
      <c r="U173" s="294"/>
      <c r="V173" s="294"/>
      <c r="Y173" s="294"/>
      <c r="Z173" s="294"/>
      <c r="AM173" s="158"/>
      <c r="AN173" s="158"/>
      <c r="AS173" s="294"/>
      <c r="AT173" s="294"/>
    </row>
    <row r="174" customHeight="1" spans="1:50">
      <c r="A174" s="294"/>
      <c r="B174" s="294"/>
      <c r="C174" s="294"/>
      <c r="G174" s="294"/>
      <c r="H174" s="294"/>
      <c r="I174" s="294"/>
      <c r="P174" s="342"/>
      <c r="Q174" s="342"/>
      <c r="R174" s="294"/>
      <c r="S174" s="294"/>
      <c r="T174" s="294"/>
      <c r="U174" s="294"/>
      <c r="V174" s="294"/>
      <c r="Y174" s="294"/>
      <c r="Z174" s="294"/>
      <c r="AM174" s="158"/>
      <c r="AN174" s="158"/>
      <c r="AS174" s="294"/>
      <c r="AT174" s="294"/>
      <c r="AW174" s="351"/>
      <c r="AX174" s="351"/>
    </row>
    <row r="175" customHeight="1" spans="1:46">
      <c r="A175" s="294"/>
      <c r="B175" s="294"/>
      <c r="C175" s="294"/>
      <c r="G175" s="294"/>
      <c r="H175" s="294"/>
      <c r="I175" s="294"/>
      <c r="S175" s="294"/>
      <c r="T175" s="294"/>
      <c r="U175" s="294"/>
      <c r="V175" s="294"/>
      <c r="Y175" s="294"/>
      <c r="Z175" s="294"/>
      <c r="AM175" s="158"/>
      <c r="AN175" s="158"/>
      <c r="AS175" s="294"/>
      <c r="AT175" s="294"/>
    </row>
    <row r="176" customHeight="1" spans="1:46">
      <c r="A176" s="294"/>
      <c r="B176" s="294"/>
      <c r="C176" s="294"/>
      <c r="G176" s="294"/>
      <c r="H176" s="294"/>
      <c r="I176" s="294"/>
      <c r="S176" s="294"/>
      <c r="T176" s="294"/>
      <c r="U176" s="294"/>
      <c r="V176" s="294"/>
      <c r="Y176" s="294"/>
      <c r="Z176" s="294"/>
      <c r="AM176" s="158"/>
      <c r="AN176" s="158"/>
      <c r="AS176" s="294"/>
      <c r="AT176" s="294"/>
    </row>
    <row r="177" customHeight="1" spans="1:46">
      <c r="A177" s="294"/>
      <c r="B177" s="294"/>
      <c r="C177" s="294"/>
      <c r="G177" s="294"/>
      <c r="H177" s="294"/>
      <c r="I177" s="294"/>
      <c r="S177" s="294"/>
      <c r="T177" s="294"/>
      <c r="U177" s="294"/>
      <c r="V177" s="294"/>
      <c r="Y177" s="294"/>
      <c r="Z177" s="294"/>
      <c r="AM177" s="158"/>
      <c r="AN177" s="158"/>
      <c r="AS177" s="294"/>
      <c r="AT177" s="294"/>
    </row>
    <row r="178" customHeight="1" spans="1:46">
      <c r="A178" s="294"/>
      <c r="B178" s="294"/>
      <c r="C178" s="294"/>
      <c r="G178" s="294"/>
      <c r="H178" s="294"/>
      <c r="I178" s="294"/>
      <c r="S178" s="294"/>
      <c r="T178" s="294"/>
      <c r="U178" s="294"/>
      <c r="V178" s="294"/>
      <c r="Y178" s="294"/>
      <c r="Z178" s="294"/>
      <c r="AM178" s="158"/>
      <c r="AN178" s="158"/>
      <c r="AS178" s="294"/>
      <c r="AT178" s="294"/>
    </row>
    <row r="179" customHeight="1" spans="1:46">
      <c r="A179" s="294"/>
      <c r="B179" s="294"/>
      <c r="C179" s="294"/>
      <c r="G179" s="294"/>
      <c r="H179" s="294"/>
      <c r="I179" s="294"/>
      <c r="S179" s="294"/>
      <c r="T179" s="294"/>
      <c r="U179" s="294"/>
      <c r="V179" s="294"/>
      <c r="Y179" s="294"/>
      <c r="Z179" s="294"/>
      <c r="AM179" s="158"/>
      <c r="AN179" s="158"/>
      <c r="AS179" s="294"/>
      <c r="AT179" s="294"/>
    </row>
    <row r="180" customHeight="1" spans="19:46">
      <c r="S180" s="294"/>
      <c r="T180" s="294"/>
      <c r="U180" s="294"/>
      <c r="AM180" s="158"/>
      <c r="AN180" s="158"/>
      <c r="AS180" s="294"/>
      <c r="AT180" s="294"/>
    </row>
    <row r="181" customHeight="1" spans="39:46">
      <c r="AM181" s="158"/>
      <c r="AN181" s="158"/>
      <c r="AS181" s="294"/>
      <c r="AT181" s="294"/>
    </row>
    <row r="182" customHeight="1" spans="39:46">
      <c r="AM182" s="158"/>
      <c r="AN182" s="158"/>
      <c r="AS182" s="294"/>
      <c r="AT182" s="294"/>
    </row>
    <row r="183" customHeight="1" spans="39:46">
      <c r="AM183" s="158"/>
      <c r="AN183" s="158"/>
      <c r="AS183" s="294"/>
      <c r="AT183" s="294"/>
    </row>
    <row r="184" customHeight="1" spans="39:46">
      <c r="AM184" s="158"/>
      <c r="AN184" s="158"/>
      <c r="AS184" s="294"/>
      <c r="AT184" s="294"/>
    </row>
    <row r="185" customHeight="1" spans="39:46">
      <c r="AM185" s="158"/>
      <c r="AN185" s="158"/>
      <c r="AS185" s="294"/>
      <c r="AT185" s="294"/>
    </row>
    <row r="186" customHeight="1" spans="39:46">
      <c r="AM186" s="158"/>
      <c r="AN186" s="158"/>
      <c r="AS186" s="294"/>
      <c r="AT186" s="294"/>
    </row>
    <row r="187" customHeight="1" spans="39:46">
      <c r="AM187" s="158"/>
      <c r="AN187" s="158"/>
      <c r="AS187" s="294"/>
      <c r="AT187" s="294"/>
    </row>
    <row r="188" customHeight="1" spans="39:46">
      <c r="AM188" s="158"/>
      <c r="AN188" s="158"/>
      <c r="AS188" s="294"/>
      <c r="AT188" s="294"/>
    </row>
    <row r="189" customHeight="1" spans="39:46">
      <c r="AM189" s="158"/>
      <c r="AN189" s="158"/>
      <c r="AS189" s="294"/>
      <c r="AT189" s="294"/>
    </row>
    <row r="190" customHeight="1" spans="39:46">
      <c r="AM190" s="158"/>
      <c r="AN190" s="158"/>
      <c r="AS190" s="294"/>
      <c r="AT190" s="294"/>
    </row>
    <row r="191" customHeight="1" spans="39:46">
      <c r="AM191" s="158"/>
      <c r="AN191" s="158"/>
      <c r="AS191" s="294"/>
      <c r="AT191" s="294"/>
    </row>
    <row r="192" customHeight="1" spans="39:46">
      <c r="AM192" s="158"/>
      <c r="AN192" s="158"/>
      <c r="AS192" s="294"/>
      <c r="AT192" s="294"/>
    </row>
    <row r="193" customHeight="1" spans="39:46">
      <c r="AM193" s="158"/>
      <c r="AN193" s="158"/>
      <c r="AS193" s="294"/>
      <c r="AT193" s="294"/>
    </row>
    <row r="194" customHeight="1" spans="39:46">
      <c r="AM194" s="158"/>
      <c r="AN194" s="158"/>
      <c r="AS194" s="294"/>
      <c r="AT194" s="294"/>
    </row>
    <row r="195" customHeight="1" spans="39:46">
      <c r="AM195" s="158"/>
      <c r="AN195" s="158"/>
      <c r="AS195" s="294"/>
      <c r="AT195" s="294"/>
    </row>
    <row r="196" customHeight="1" spans="39:46">
      <c r="AM196" s="158"/>
      <c r="AN196" s="158"/>
      <c r="AS196" s="294"/>
      <c r="AT196" s="294"/>
    </row>
    <row r="197" customHeight="1" spans="39:46">
      <c r="AM197" s="158"/>
      <c r="AN197" s="158"/>
      <c r="AS197" s="294"/>
      <c r="AT197" s="294"/>
    </row>
    <row r="198" customHeight="1" spans="39:46">
      <c r="AM198" s="158"/>
      <c r="AN198" s="158"/>
      <c r="AS198" s="294"/>
      <c r="AT198" s="294"/>
    </row>
    <row r="199" customHeight="1" spans="39:46">
      <c r="AM199" s="158"/>
      <c r="AN199" s="158"/>
      <c r="AS199" s="294"/>
      <c r="AT199" s="294"/>
    </row>
    <row r="200" customHeight="1" spans="39:50">
      <c r="AM200" s="158"/>
      <c r="AN200" s="158"/>
      <c r="AS200" s="294"/>
      <c r="AT200" s="294"/>
      <c r="AW200" s="351"/>
      <c r="AX200" s="351"/>
    </row>
    <row r="201" customHeight="1" spans="39:46">
      <c r="AM201" s="158"/>
      <c r="AN201" s="158"/>
      <c r="AS201" s="294"/>
      <c r="AT201" s="294"/>
    </row>
    <row r="202" customHeight="1" spans="39:46">
      <c r="AM202" s="158"/>
      <c r="AN202" s="158"/>
      <c r="AS202" s="294"/>
      <c r="AT202" s="294"/>
    </row>
  </sheetData>
  <sheetProtection autoFilter="0"/>
  <autoFilter xmlns:etc="http://www.wps.cn/officeDocument/2017/etCustomData" ref="A10:BB142" etc:filterBottomFollowUsedRange="0">
    <extLst/>
  </autoFilter>
  <mergeCells count="45">
    <mergeCell ref="AK3:AM3"/>
    <mergeCell ref="Y10:AC10"/>
    <mergeCell ref="AA11:AC11"/>
    <mergeCell ref="AN25:AS25"/>
    <mergeCell ref="Y127:AC127"/>
    <mergeCell ref="B12:B13"/>
    <mergeCell ref="B14:B17"/>
    <mergeCell ref="B18:B20"/>
    <mergeCell ref="B21:B22"/>
    <mergeCell ref="B23:B24"/>
    <mergeCell ref="B25:B37"/>
    <mergeCell ref="B39:B40"/>
    <mergeCell ref="B41:B42"/>
    <mergeCell ref="B43:B44"/>
    <mergeCell ref="B45:B46"/>
    <mergeCell ref="B47:B50"/>
    <mergeCell ref="B51:B53"/>
    <mergeCell ref="B54:B56"/>
    <mergeCell ref="B57:B78"/>
    <mergeCell ref="B79:B92"/>
    <mergeCell ref="B94:B95"/>
    <mergeCell ref="B96:B97"/>
    <mergeCell ref="B98:B100"/>
    <mergeCell ref="B101:B106"/>
    <mergeCell ref="B107:B108"/>
    <mergeCell ref="B112:B113"/>
    <mergeCell ref="B114:B115"/>
    <mergeCell ref="B117:B118"/>
    <mergeCell ref="B119:B120"/>
    <mergeCell ref="B121:B122"/>
    <mergeCell ref="W10:W11"/>
    <mergeCell ref="X10:X11"/>
    <mergeCell ref="AG10:AG11"/>
    <mergeCell ref="AH10:AH11"/>
    <mergeCell ref="AN26:AN29"/>
    <mergeCell ref="AN31:AN50"/>
    <mergeCell ref="AN51:AN53"/>
    <mergeCell ref="AQ31:AQ50"/>
    <mergeCell ref="AQ51:AQ53"/>
    <mergeCell ref="AR31:AR50"/>
    <mergeCell ref="AR51:AR53"/>
    <mergeCell ref="AS31:AS53"/>
    <mergeCell ref="AK1:AM2"/>
    <mergeCell ref="AK4:AM5"/>
    <mergeCell ref="AO26:AS29"/>
  </mergeCells>
  <conditionalFormatting sqref="D90">
    <cfRule type="duplicateValues" dxfId="0" priority="6"/>
  </conditionalFormatting>
  <conditionalFormatting sqref="D91">
    <cfRule type="duplicateValues" dxfId="0" priority="5"/>
  </conditionalFormatting>
  <conditionalFormatting sqref="D23:D24">
    <cfRule type="duplicateValues" dxfId="0" priority="4"/>
  </conditionalFormatting>
  <conditionalFormatting sqref="D114:D115">
    <cfRule type="duplicateValues" dxfId="0" priority="2"/>
    <cfRule type="duplicateValues" dxfId="1" priority="1"/>
  </conditionalFormatting>
  <conditionalFormatting sqref="D12:D113 D116:D126">
    <cfRule type="duplicateValues" dxfId="1" priority="3"/>
  </conditionalFormatting>
  <conditionalFormatting sqref="D12:D22 D25:D89 D92:D113 D116:D126">
    <cfRule type="duplicateValues" dxfId="0" priority="7"/>
  </conditionalFormatting>
  <dataValidations count="11">
    <dataValidation type="list" allowBlank="1" showInputMessage="1" showErrorMessage="1" sqref="G1">
      <formula1>$AR$1:$AR$10</formula1>
    </dataValidation>
    <dataValidation type="list" allowBlank="1" showInputMessage="1" showErrorMessage="1" sqref="K1">
      <formula1>客户基础数据!$C$2:$C$863</formula1>
    </dataValidation>
    <dataValidation type="list" allowBlank="1" showInputMessage="1" showErrorMessage="1" sqref="W2">
      <formula1>客户地址筛选!$C$2:$C$25</formula1>
    </dataValidation>
    <dataValidation type="date" operator="between" allowBlank="1" showInputMessage="1" showErrorMessage="1" sqref="G3">
      <formula1>46023</formula1>
      <formula2>46387</formula2>
    </dataValidation>
    <dataValidation type="list" allowBlank="1" showInputMessage="1" showErrorMessage="1" sqref="G4">
      <formula1>$AU$1:$AU$6</formula1>
    </dataValidation>
    <dataValidation type="list" showInputMessage="1" showErrorMessage="1" sqref="G5">
      <formula1>$AT$1:$AT$5</formula1>
    </dataValidation>
    <dataValidation type="list" allowBlank="1" showInputMessage="1" showErrorMessage="1" sqref="W5">
      <formula1>付款条款筛选!$C2:$C30</formula1>
    </dataValidation>
    <dataValidation type="list" allowBlank="1" showInputMessage="1" showErrorMessage="1" sqref="G6">
      <formula1>$AS$1:$AS$10</formula1>
    </dataValidation>
    <dataValidation type="custom" allowBlank="1" showInputMessage="1" showErrorMessage="1" errorTitle="请输入数字" error="请输入数字" sqref="K6:L6">
      <formula1>ISNUMBER(K6)</formula1>
    </dataValidation>
    <dataValidation type="custom" allowBlank="1" showInputMessage="1" showErrorMessage="1" errorTitle="请输入数字" error="请输入数字" sqref="K7:L7" errorStyle="warning">
      <formula1>ISNUMBER(K7)</formula1>
    </dataValidation>
    <dataValidation type="whole" operator="greaterThan" allowBlank="1" showInputMessage="1" showErrorMessage="1" errorTitle="请输入整数" error="请输入整数" sqref="L12:N126">
      <formula1>0</formula1>
    </dataValidation>
  </dataValidations>
  <pageMargins left="0.7" right="0.7" top="0.75" bottom="0.75" header="0.3" footer="0.3"/>
  <pageSetup paperSize="9" orientation="portrait" horizontalDpi="200" verticalDpi="300"/>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9"/>
  <sheetViews>
    <sheetView workbookViewId="0">
      <selection activeCell="Z1" sqref="Y1:Z1"/>
    </sheetView>
  </sheetViews>
  <sheetFormatPr defaultColWidth="13.0083333333333" defaultRowHeight="13.5"/>
  <cols>
    <col min="1" max="1" width="12.0833333333333" style="1" customWidth="1"/>
    <col min="2" max="2" width="41.8166666666667" style="1" customWidth="1"/>
    <col min="3" max="3" width="5.575" style="1" customWidth="1"/>
    <col min="4" max="4" width="21.375" style="1" customWidth="1"/>
    <col min="5" max="5" width="10.225" style="1" customWidth="1"/>
    <col min="6" max="7" width="9.29166666666667" style="1" customWidth="1"/>
    <col min="8" max="8" width="23.2333333333333" style="1" customWidth="1"/>
    <col min="9" max="9" width="31.5916666666667" style="1" customWidth="1"/>
    <col min="10" max="10" width="8.36666666666667" style="1" customWidth="1"/>
    <col min="11" max="11" width="31.5916666666667" style="1" customWidth="1"/>
    <col min="12" max="12" width="25.0916666666667" style="1" customWidth="1"/>
    <col min="13" max="13" width="6.50833333333333" style="1" customWidth="1"/>
    <col min="14" max="14" width="28.8083333333333" style="1" customWidth="1"/>
    <col min="15" max="15" width="17.6583333333333" style="1" hidden="1" customWidth="1"/>
    <col min="16" max="16" width="10.225" style="1" hidden="1" customWidth="1"/>
    <col min="17" max="17" width="21.375" style="1" hidden="1" customWidth="1"/>
    <col min="18" max="18" width="10.225" style="1" hidden="1" customWidth="1"/>
    <col min="19" max="19" width="21.375" style="1" hidden="1" customWidth="1"/>
    <col min="20" max="20" width="14.8666666666667" style="1" hidden="1" customWidth="1"/>
    <col min="21" max="22" width="23.2333333333333" style="1" hidden="1" customWidth="1"/>
    <col min="23" max="23" width="31.5916666666667" style="1" customWidth="1"/>
    <col min="24" max="24" width="13.0083333333333" style="1" customWidth="1"/>
    <col min="25" max="25" width="10.225" style="1" customWidth="1"/>
    <col min="26" max="16384" width="13.0083333333333" style="1"/>
  </cols>
  <sheetData>
    <row r="1" s="1" customFormat="1" ht="15" customHeight="1" spans="1:26">
      <c r="A1" s="61" t="s">
        <v>1559</v>
      </c>
      <c r="B1" s="61" t="s">
        <v>1560</v>
      </c>
      <c r="C1" s="61" t="s">
        <v>1561</v>
      </c>
      <c r="D1" s="61" t="s">
        <v>1562</v>
      </c>
      <c r="E1" s="61" t="s">
        <v>1563</v>
      </c>
      <c r="F1" s="61" t="s">
        <v>1564</v>
      </c>
      <c r="G1" s="61" t="s">
        <v>1565</v>
      </c>
      <c r="H1" s="61" t="s">
        <v>1566</v>
      </c>
      <c r="I1" s="61" t="s">
        <v>1567</v>
      </c>
      <c r="J1" s="61" t="s">
        <v>1568</v>
      </c>
      <c r="K1" s="61" t="s">
        <v>1569</v>
      </c>
      <c r="L1" s="61" t="s">
        <v>1570</v>
      </c>
      <c r="M1" s="61" t="s">
        <v>1571</v>
      </c>
      <c r="N1" s="61" t="s">
        <v>1572</v>
      </c>
      <c r="O1" s="61" t="s">
        <v>1573</v>
      </c>
      <c r="P1" s="61" t="s">
        <v>1574</v>
      </c>
      <c r="Q1" s="61" t="s">
        <v>1575</v>
      </c>
      <c r="R1" s="61" t="s">
        <v>1576</v>
      </c>
      <c r="S1" s="61" t="s">
        <v>1577</v>
      </c>
      <c r="T1" s="61" t="s">
        <v>1578</v>
      </c>
      <c r="U1" s="61" t="s">
        <v>1579</v>
      </c>
      <c r="V1" s="61" t="s">
        <v>1580</v>
      </c>
      <c r="W1" s="61" t="s">
        <v>1581</v>
      </c>
      <c r="X1" s="61" t="s">
        <v>1582</v>
      </c>
      <c r="Y1" s="61" t="s">
        <v>1583</v>
      </c>
      <c r="Z1" s="61" t="s">
        <v>1584</v>
      </c>
    </row>
    <row r="2" s="1" customFormat="1" ht="15" customHeight="1" spans="1:26">
      <c r="A2" s="59">
        <v>2141020020</v>
      </c>
      <c r="B2" s="61" t="s">
        <v>1585</v>
      </c>
      <c r="C2" s="61" t="s">
        <v>1586</v>
      </c>
      <c r="D2" s="61" t="s">
        <v>1587</v>
      </c>
      <c r="E2" s="61" t="s">
        <v>1588</v>
      </c>
      <c r="F2" s="61" t="s">
        <v>1588</v>
      </c>
      <c r="G2" s="61" t="s">
        <v>1588</v>
      </c>
      <c r="H2" s="61" t="s">
        <v>1589</v>
      </c>
      <c r="I2" s="61" t="s">
        <v>1590</v>
      </c>
      <c r="J2" s="61" t="s">
        <v>1588</v>
      </c>
      <c r="K2" s="61" t="s">
        <v>1591</v>
      </c>
      <c r="L2" s="61" t="s">
        <v>1592</v>
      </c>
      <c r="M2" s="61" t="s">
        <v>1588</v>
      </c>
      <c r="N2" s="61" t="s">
        <v>1593</v>
      </c>
      <c r="O2" s="61" t="s">
        <v>1594</v>
      </c>
      <c r="P2" s="61" t="s">
        <v>1595</v>
      </c>
      <c r="Q2" s="61" t="s">
        <v>1596</v>
      </c>
      <c r="R2" s="61" t="s">
        <v>1597</v>
      </c>
      <c r="S2" s="61" t="s">
        <v>1598</v>
      </c>
      <c r="T2" s="61" t="s">
        <v>1588</v>
      </c>
      <c r="U2" s="61" t="s">
        <v>1588</v>
      </c>
      <c r="V2" s="61" t="s">
        <v>1599</v>
      </c>
      <c r="W2" s="61" t="s">
        <v>1590</v>
      </c>
      <c r="X2" s="61" t="s">
        <v>1600</v>
      </c>
      <c r="Y2" s="1" t="str">
        <f t="shared" ref="Y2:Y59" si="0">IF(Z2="北部","1",IF(Z2="南部","2",""))</f>
        <v>2</v>
      </c>
      <c r="Z2" s="61" t="s">
        <v>1601</v>
      </c>
    </row>
    <row r="3" s="1" customFormat="1" ht="15" customHeight="1" spans="1:26">
      <c r="A3" s="59">
        <v>2141030020</v>
      </c>
      <c r="B3" s="61" t="s">
        <v>1602</v>
      </c>
      <c r="C3" s="61" t="s">
        <v>1603</v>
      </c>
      <c r="D3" s="61" t="s">
        <v>1604</v>
      </c>
      <c r="E3" s="61" t="s">
        <v>1588</v>
      </c>
      <c r="F3" s="61" t="s">
        <v>1605</v>
      </c>
      <c r="G3" s="61" t="s">
        <v>1588</v>
      </c>
      <c r="H3" s="61" t="s">
        <v>1606</v>
      </c>
      <c r="I3" s="61" t="s">
        <v>1607</v>
      </c>
      <c r="J3" s="61" t="s">
        <v>1588</v>
      </c>
      <c r="K3" s="61" t="s">
        <v>1608</v>
      </c>
      <c r="L3" s="61" t="s">
        <v>1609</v>
      </c>
      <c r="M3" s="61" t="s">
        <v>1588</v>
      </c>
      <c r="N3" s="61" t="s">
        <v>1610</v>
      </c>
      <c r="O3" s="61" t="s">
        <v>1611</v>
      </c>
      <c r="P3" s="61" t="s">
        <v>1595</v>
      </c>
      <c r="Q3" s="61" t="s">
        <v>1596</v>
      </c>
      <c r="R3" s="61" t="s">
        <v>1597</v>
      </c>
      <c r="S3" s="61" t="s">
        <v>1612</v>
      </c>
      <c r="T3" s="61" t="s">
        <v>1588</v>
      </c>
      <c r="U3" s="61" t="s">
        <v>1588</v>
      </c>
      <c r="V3" s="61" t="s">
        <v>1599</v>
      </c>
      <c r="W3" s="61" t="s">
        <v>1607</v>
      </c>
      <c r="X3" s="61" t="s">
        <v>1600</v>
      </c>
      <c r="Y3" s="1" t="str">
        <f t="shared" si="0"/>
        <v>1</v>
      </c>
      <c r="Z3" s="61" t="s">
        <v>1613</v>
      </c>
    </row>
    <row r="4" s="1" customFormat="1" ht="15" customHeight="1" spans="1:26">
      <c r="A4" s="59">
        <v>2141030020</v>
      </c>
      <c r="B4" s="61" t="s">
        <v>1602</v>
      </c>
      <c r="C4" s="61" t="s">
        <v>1614</v>
      </c>
      <c r="D4" s="61" t="s">
        <v>1604</v>
      </c>
      <c r="E4" s="61" t="s">
        <v>1588</v>
      </c>
      <c r="F4" s="61" t="s">
        <v>1605</v>
      </c>
      <c r="G4" s="61" t="s">
        <v>1588</v>
      </c>
      <c r="H4" s="61" t="s">
        <v>1606</v>
      </c>
      <c r="I4" s="61" t="s">
        <v>1607</v>
      </c>
      <c r="J4" s="61" t="s">
        <v>1588</v>
      </c>
      <c r="K4" s="61" t="s">
        <v>1615</v>
      </c>
      <c r="L4" s="61" t="s">
        <v>1616</v>
      </c>
      <c r="M4" s="61" t="s">
        <v>1588</v>
      </c>
      <c r="N4" s="61" t="s">
        <v>1617</v>
      </c>
      <c r="O4" s="61" t="s">
        <v>1611</v>
      </c>
      <c r="P4" s="61" t="s">
        <v>1595</v>
      </c>
      <c r="Q4" s="61" t="s">
        <v>1596</v>
      </c>
      <c r="R4" s="61" t="s">
        <v>1597</v>
      </c>
      <c r="S4" s="61" t="s">
        <v>1612</v>
      </c>
      <c r="T4" s="61" t="s">
        <v>1588</v>
      </c>
      <c r="U4" s="61" t="s">
        <v>1588</v>
      </c>
      <c r="V4" s="61" t="s">
        <v>1599</v>
      </c>
      <c r="W4" s="61" t="s">
        <v>1607</v>
      </c>
      <c r="X4" s="61" t="s">
        <v>1600</v>
      </c>
      <c r="Y4" s="1" t="str">
        <f t="shared" si="0"/>
        <v>1</v>
      </c>
      <c r="Z4" s="61" t="s">
        <v>1613</v>
      </c>
    </row>
    <row r="5" s="1" customFormat="1" ht="15" customHeight="1" spans="1:26">
      <c r="A5" s="59">
        <v>2141070020</v>
      </c>
      <c r="B5" s="61" t="s">
        <v>1618</v>
      </c>
      <c r="C5" s="61" t="s">
        <v>1619</v>
      </c>
      <c r="D5" s="61" t="s">
        <v>1620</v>
      </c>
      <c r="E5" s="61" t="s">
        <v>1588</v>
      </c>
      <c r="F5" s="61" t="s">
        <v>1588</v>
      </c>
      <c r="G5" s="61" t="s">
        <v>1588</v>
      </c>
      <c r="H5" s="61" t="s">
        <v>1589</v>
      </c>
      <c r="I5" s="61" t="s">
        <v>1590</v>
      </c>
      <c r="J5" s="61" t="s">
        <v>1588</v>
      </c>
      <c r="K5" s="61" t="s">
        <v>1621</v>
      </c>
      <c r="L5" s="61" t="s">
        <v>1622</v>
      </c>
      <c r="M5" s="61" t="s">
        <v>1588</v>
      </c>
      <c r="N5" s="61" t="s">
        <v>1623</v>
      </c>
      <c r="O5" s="61" t="s">
        <v>1594</v>
      </c>
      <c r="P5" s="61" t="s">
        <v>1595</v>
      </c>
      <c r="Q5" s="61" t="s">
        <v>1596</v>
      </c>
      <c r="R5" s="61" t="s">
        <v>1597</v>
      </c>
      <c r="S5" s="61" t="s">
        <v>1624</v>
      </c>
      <c r="T5" s="61" t="s">
        <v>1588</v>
      </c>
      <c r="U5" s="61" t="s">
        <v>1588</v>
      </c>
      <c r="V5" s="61" t="s">
        <v>1599</v>
      </c>
      <c r="W5" s="61" t="s">
        <v>1590</v>
      </c>
      <c r="X5" s="61" t="s">
        <v>1600</v>
      </c>
      <c r="Y5" s="1" t="str">
        <f t="shared" si="0"/>
        <v>2</v>
      </c>
      <c r="Z5" s="61" t="s">
        <v>1601</v>
      </c>
    </row>
    <row r="6" s="1" customFormat="1" ht="15" customHeight="1" spans="1:26">
      <c r="A6" s="59">
        <v>2141020110</v>
      </c>
      <c r="B6" s="61" t="s">
        <v>1625</v>
      </c>
      <c r="C6" s="61" t="s">
        <v>1626</v>
      </c>
      <c r="D6" s="61" t="s">
        <v>1627</v>
      </c>
      <c r="E6" s="61" t="s">
        <v>1588</v>
      </c>
      <c r="F6" s="61" t="s">
        <v>1588</v>
      </c>
      <c r="G6" s="61" t="s">
        <v>1588</v>
      </c>
      <c r="H6" s="61" t="s">
        <v>1589</v>
      </c>
      <c r="I6" s="61" t="s">
        <v>1590</v>
      </c>
      <c r="J6" s="61" t="s">
        <v>1588</v>
      </c>
      <c r="K6" s="61" t="s">
        <v>1628</v>
      </c>
      <c r="L6" s="61" t="s">
        <v>1629</v>
      </c>
      <c r="M6" s="61" t="s">
        <v>1588</v>
      </c>
      <c r="N6" s="61" t="s">
        <v>1630</v>
      </c>
      <c r="O6" s="61" t="s">
        <v>1611</v>
      </c>
      <c r="P6" s="61" t="s">
        <v>1595</v>
      </c>
      <c r="Q6" s="61" t="s">
        <v>1596</v>
      </c>
      <c r="R6" s="61" t="s">
        <v>1597</v>
      </c>
      <c r="S6" s="61" t="s">
        <v>1631</v>
      </c>
      <c r="T6" s="61" t="s">
        <v>1588</v>
      </c>
      <c r="U6" s="61" t="s">
        <v>1588</v>
      </c>
      <c r="V6" s="61" t="s">
        <v>1599</v>
      </c>
      <c r="W6" s="61" t="s">
        <v>1590</v>
      </c>
      <c r="X6" s="61" t="s">
        <v>1600</v>
      </c>
      <c r="Y6" s="1" t="str">
        <f t="shared" si="0"/>
        <v>2</v>
      </c>
      <c r="Z6" s="61" t="s">
        <v>1601</v>
      </c>
    </row>
    <row r="7" s="1" customFormat="1" ht="15" customHeight="1" spans="1:26">
      <c r="A7" s="59">
        <v>2141010070</v>
      </c>
      <c r="B7" s="61" t="s">
        <v>1632</v>
      </c>
      <c r="C7" s="61" t="s">
        <v>1633</v>
      </c>
      <c r="D7" s="61" t="s">
        <v>1634</v>
      </c>
      <c r="E7" s="61" t="s">
        <v>1588</v>
      </c>
      <c r="F7" s="61" t="s">
        <v>1588</v>
      </c>
      <c r="G7" s="61" t="s">
        <v>1588</v>
      </c>
      <c r="H7" s="61" t="s">
        <v>1635</v>
      </c>
      <c r="I7" s="61" t="s">
        <v>1607</v>
      </c>
      <c r="J7" s="61" t="s">
        <v>1588</v>
      </c>
      <c r="K7" s="61" t="s">
        <v>1636</v>
      </c>
      <c r="L7" s="61" t="s">
        <v>1637</v>
      </c>
      <c r="M7" s="61" t="s">
        <v>1588</v>
      </c>
      <c r="N7" s="61" t="s">
        <v>1638</v>
      </c>
      <c r="O7" s="61" t="s">
        <v>1594</v>
      </c>
      <c r="P7" s="61" t="s">
        <v>1595</v>
      </c>
      <c r="Q7" s="61" t="s">
        <v>1596</v>
      </c>
      <c r="R7" s="61" t="s">
        <v>1595</v>
      </c>
      <c r="S7" s="61" t="s">
        <v>1639</v>
      </c>
      <c r="T7" s="61" t="s">
        <v>1588</v>
      </c>
      <c r="U7" s="61" t="s">
        <v>1588</v>
      </c>
      <c r="V7" s="61" t="s">
        <v>1599</v>
      </c>
      <c r="W7" s="61" t="s">
        <v>1607</v>
      </c>
      <c r="X7" s="61" t="s">
        <v>1600</v>
      </c>
      <c r="Y7" s="1" t="str">
        <f t="shared" si="0"/>
        <v>1</v>
      </c>
      <c r="Z7" s="61" t="s">
        <v>1613</v>
      </c>
    </row>
    <row r="8" s="1" customFormat="1" ht="15" customHeight="1" spans="1:26">
      <c r="A8" s="59">
        <v>2141020130</v>
      </c>
      <c r="B8" s="61" t="s">
        <v>1640</v>
      </c>
      <c r="C8" s="61" t="s">
        <v>1641</v>
      </c>
      <c r="D8" s="61" t="s">
        <v>1642</v>
      </c>
      <c r="E8" s="61" t="s">
        <v>1588</v>
      </c>
      <c r="F8" s="61" t="s">
        <v>1588</v>
      </c>
      <c r="G8" s="61" t="s">
        <v>1588</v>
      </c>
      <c r="H8" s="61" t="s">
        <v>1589</v>
      </c>
      <c r="I8" s="61" t="s">
        <v>1590</v>
      </c>
      <c r="J8" s="61" t="s">
        <v>1588</v>
      </c>
      <c r="K8" s="61" t="s">
        <v>1643</v>
      </c>
      <c r="L8" s="61" t="s">
        <v>1644</v>
      </c>
      <c r="M8" s="61" t="s">
        <v>1588</v>
      </c>
      <c r="N8" s="61" t="s">
        <v>1645</v>
      </c>
      <c r="O8" s="61" t="s">
        <v>1594</v>
      </c>
      <c r="P8" s="61" t="s">
        <v>1595</v>
      </c>
      <c r="Q8" s="61" t="s">
        <v>1596</v>
      </c>
      <c r="R8" s="61" t="s">
        <v>1595</v>
      </c>
      <c r="S8" s="61" t="s">
        <v>1646</v>
      </c>
      <c r="T8" s="61" t="s">
        <v>1588</v>
      </c>
      <c r="U8" s="61" t="s">
        <v>1588</v>
      </c>
      <c r="V8" s="61" t="s">
        <v>1599</v>
      </c>
      <c r="W8" s="61" t="s">
        <v>1590</v>
      </c>
      <c r="X8" s="61" t="s">
        <v>1600</v>
      </c>
      <c r="Y8" s="1" t="str">
        <f t="shared" si="0"/>
        <v>1</v>
      </c>
      <c r="Z8" s="61" t="s">
        <v>1613</v>
      </c>
    </row>
    <row r="9" s="1" customFormat="1" ht="15" customHeight="1" spans="1:26">
      <c r="A9" s="59">
        <v>2141010080</v>
      </c>
      <c r="B9" s="61" t="s">
        <v>1647</v>
      </c>
      <c r="C9" s="61" t="s">
        <v>1648</v>
      </c>
      <c r="D9" s="61" t="s">
        <v>1649</v>
      </c>
      <c r="E9" s="61" t="s">
        <v>1588</v>
      </c>
      <c r="F9" s="61" t="s">
        <v>1588</v>
      </c>
      <c r="G9" s="61" t="s">
        <v>1588</v>
      </c>
      <c r="H9" s="61" t="s">
        <v>1650</v>
      </c>
      <c r="I9" s="61" t="s">
        <v>1607</v>
      </c>
      <c r="J9" s="61" t="s">
        <v>1588</v>
      </c>
      <c r="K9" s="61" t="s">
        <v>1651</v>
      </c>
      <c r="L9" s="61" t="s">
        <v>1652</v>
      </c>
      <c r="M9" s="61" t="s">
        <v>1588</v>
      </c>
      <c r="N9" s="61" t="s">
        <v>1653</v>
      </c>
      <c r="O9" s="61" t="s">
        <v>1594</v>
      </c>
      <c r="P9" s="61" t="s">
        <v>1595</v>
      </c>
      <c r="Q9" s="61" t="s">
        <v>1596</v>
      </c>
      <c r="R9" s="61" t="s">
        <v>1595</v>
      </c>
      <c r="S9" s="61" t="s">
        <v>1654</v>
      </c>
      <c r="T9" s="61" t="s">
        <v>1588</v>
      </c>
      <c r="U9" s="61" t="s">
        <v>1588</v>
      </c>
      <c r="V9" s="61" t="s">
        <v>1599</v>
      </c>
      <c r="W9" s="61" t="s">
        <v>1607</v>
      </c>
      <c r="X9" s="61" t="s">
        <v>1600</v>
      </c>
      <c r="Y9" s="1" t="str">
        <f t="shared" si="0"/>
        <v>1</v>
      </c>
      <c r="Z9" s="61" t="s">
        <v>1613</v>
      </c>
    </row>
    <row r="10" s="1" customFormat="1" ht="15" customHeight="1" spans="1:26">
      <c r="A10" s="59">
        <v>2141010090</v>
      </c>
      <c r="B10" s="61" t="s">
        <v>1655</v>
      </c>
      <c r="C10" s="61" t="s">
        <v>1656</v>
      </c>
      <c r="D10" s="61" t="s">
        <v>1657</v>
      </c>
      <c r="E10" s="61" t="s">
        <v>1588</v>
      </c>
      <c r="F10" s="61" t="s">
        <v>1588</v>
      </c>
      <c r="G10" s="61" t="s">
        <v>1588</v>
      </c>
      <c r="H10" s="61" t="s">
        <v>1589</v>
      </c>
      <c r="I10" s="61" t="s">
        <v>1607</v>
      </c>
      <c r="J10" s="61" t="s">
        <v>1588</v>
      </c>
      <c r="K10" s="61" t="s">
        <v>1658</v>
      </c>
      <c r="L10" s="61" t="s">
        <v>1637</v>
      </c>
      <c r="M10" s="61" t="s">
        <v>1588</v>
      </c>
      <c r="N10" s="61" t="s">
        <v>1638</v>
      </c>
      <c r="O10" s="61" t="s">
        <v>1594</v>
      </c>
      <c r="P10" s="61" t="s">
        <v>1595</v>
      </c>
      <c r="Q10" s="61" t="s">
        <v>1596</v>
      </c>
      <c r="R10" s="61" t="s">
        <v>1595</v>
      </c>
      <c r="S10" s="61" t="s">
        <v>1659</v>
      </c>
      <c r="T10" s="61" t="s">
        <v>1588</v>
      </c>
      <c r="U10" s="61" t="s">
        <v>1588</v>
      </c>
      <c r="V10" s="61" t="s">
        <v>1599</v>
      </c>
      <c r="W10" s="61" t="s">
        <v>1607</v>
      </c>
      <c r="X10" s="61" t="s">
        <v>1600</v>
      </c>
      <c r="Y10" s="1" t="str">
        <f t="shared" si="0"/>
        <v>1</v>
      </c>
      <c r="Z10" s="61" t="s">
        <v>1613</v>
      </c>
    </row>
    <row r="11" s="1" customFormat="1" ht="15" customHeight="1" spans="1:26">
      <c r="A11" s="59">
        <v>2141020150</v>
      </c>
      <c r="B11" s="61" t="s">
        <v>1660</v>
      </c>
      <c r="C11" s="61" t="s">
        <v>1661</v>
      </c>
      <c r="D11" s="61" t="s">
        <v>1662</v>
      </c>
      <c r="E11" s="61" t="s">
        <v>1588</v>
      </c>
      <c r="F11" s="61" t="s">
        <v>1588</v>
      </c>
      <c r="G11" s="61" t="s">
        <v>1588</v>
      </c>
      <c r="H11" s="61" t="s">
        <v>1589</v>
      </c>
      <c r="I11" s="61" t="s">
        <v>1590</v>
      </c>
      <c r="J11" s="61" t="s">
        <v>1588</v>
      </c>
      <c r="K11" s="61" t="s">
        <v>1663</v>
      </c>
      <c r="L11" s="61" t="s">
        <v>1588</v>
      </c>
      <c r="M11" s="61" t="s">
        <v>1588</v>
      </c>
      <c r="N11" s="61" t="s">
        <v>1588</v>
      </c>
      <c r="O11" s="61" t="s">
        <v>1594</v>
      </c>
      <c r="P11" s="61" t="s">
        <v>1595</v>
      </c>
      <c r="Q11" s="61" t="s">
        <v>1596</v>
      </c>
      <c r="R11" s="61" t="s">
        <v>1595</v>
      </c>
      <c r="S11" s="61" t="s">
        <v>1664</v>
      </c>
      <c r="T11" s="61" t="s">
        <v>1588</v>
      </c>
      <c r="U11" s="61" t="s">
        <v>1588</v>
      </c>
      <c r="V11" s="61" t="s">
        <v>1599</v>
      </c>
      <c r="W11" s="61" t="s">
        <v>1590</v>
      </c>
      <c r="X11" s="61" t="s">
        <v>1600</v>
      </c>
      <c r="Y11" s="1" t="str">
        <f t="shared" si="0"/>
        <v>1</v>
      </c>
      <c r="Z11" s="61" t="s">
        <v>1613</v>
      </c>
    </row>
    <row r="12" s="1" customFormat="1" ht="15" customHeight="1" spans="1:26">
      <c r="A12" s="59">
        <v>2141020140</v>
      </c>
      <c r="B12" s="61" t="s">
        <v>1665</v>
      </c>
      <c r="C12" s="61" t="s">
        <v>1666</v>
      </c>
      <c r="D12" s="61" t="s">
        <v>1667</v>
      </c>
      <c r="E12" s="61" t="s">
        <v>1588</v>
      </c>
      <c r="F12" s="61" t="s">
        <v>1588</v>
      </c>
      <c r="G12" s="61" t="s">
        <v>1588</v>
      </c>
      <c r="H12" s="61" t="s">
        <v>1589</v>
      </c>
      <c r="I12" s="61" t="s">
        <v>1590</v>
      </c>
      <c r="J12" s="61" t="s">
        <v>1588</v>
      </c>
      <c r="K12" s="61" t="s">
        <v>1668</v>
      </c>
      <c r="L12" s="61" t="s">
        <v>1669</v>
      </c>
      <c r="M12" s="61" t="s">
        <v>1588</v>
      </c>
      <c r="N12" s="61" t="s">
        <v>1670</v>
      </c>
      <c r="O12" s="61" t="s">
        <v>1594</v>
      </c>
      <c r="P12" s="61" t="s">
        <v>1595</v>
      </c>
      <c r="Q12" s="61" t="s">
        <v>1596</v>
      </c>
      <c r="R12" s="61" t="s">
        <v>1597</v>
      </c>
      <c r="S12" s="61" t="s">
        <v>1671</v>
      </c>
      <c r="T12" s="61" t="s">
        <v>1588</v>
      </c>
      <c r="U12" s="61" t="s">
        <v>1588</v>
      </c>
      <c r="V12" s="61" t="s">
        <v>1599</v>
      </c>
      <c r="W12" s="61" t="s">
        <v>1590</v>
      </c>
      <c r="X12" s="61" t="s">
        <v>1600</v>
      </c>
      <c r="Y12" s="1" t="str">
        <f t="shared" si="0"/>
        <v>2</v>
      </c>
      <c r="Z12" s="61" t="s">
        <v>1601</v>
      </c>
    </row>
    <row r="13" s="1" customFormat="1" ht="15" customHeight="1" spans="1:26">
      <c r="A13" s="59">
        <v>2141020160</v>
      </c>
      <c r="B13" s="61" t="s">
        <v>1672</v>
      </c>
      <c r="C13" s="61" t="s">
        <v>1673</v>
      </c>
      <c r="D13" s="61" t="s">
        <v>1674</v>
      </c>
      <c r="E13" s="61" t="s">
        <v>1588</v>
      </c>
      <c r="F13" s="61" t="s">
        <v>1588</v>
      </c>
      <c r="G13" s="61" t="s">
        <v>1588</v>
      </c>
      <c r="H13" s="61" t="s">
        <v>1589</v>
      </c>
      <c r="I13" s="61" t="s">
        <v>1590</v>
      </c>
      <c r="J13" s="61" t="s">
        <v>1588</v>
      </c>
      <c r="K13" s="61" t="s">
        <v>1663</v>
      </c>
      <c r="L13" s="61" t="s">
        <v>1588</v>
      </c>
      <c r="M13" s="61" t="s">
        <v>1588</v>
      </c>
      <c r="N13" s="61" t="s">
        <v>1588</v>
      </c>
      <c r="O13" s="61" t="s">
        <v>1594</v>
      </c>
      <c r="P13" s="61" t="s">
        <v>1595</v>
      </c>
      <c r="Q13" s="61" t="s">
        <v>1596</v>
      </c>
      <c r="R13" s="61" t="s">
        <v>1595</v>
      </c>
      <c r="S13" s="61" t="s">
        <v>1675</v>
      </c>
      <c r="T13" s="61" t="s">
        <v>1588</v>
      </c>
      <c r="U13" s="61" t="s">
        <v>1588</v>
      </c>
      <c r="V13" s="61" t="s">
        <v>1599</v>
      </c>
      <c r="W13" s="61" t="s">
        <v>1590</v>
      </c>
      <c r="X13" s="61" t="s">
        <v>1600</v>
      </c>
      <c r="Y13" s="1" t="str">
        <f t="shared" si="0"/>
        <v>1</v>
      </c>
      <c r="Z13" s="61" t="s">
        <v>1613</v>
      </c>
    </row>
    <row r="14" s="1" customFormat="1" ht="15" customHeight="1" spans="1:26">
      <c r="A14" s="59">
        <v>2141010100</v>
      </c>
      <c r="B14" s="61" t="s">
        <v>1676</v>
      </c>
      <c r="C14" s="61" t="s">
        <v>1677</v>
      </c>
      <c r="D14" s="61" t="s">
        <v>1678</v>
      </c>
      <c r="E14" s="61" t="s">
        <v>1588</v>
      </c>
      <c r="F14" s="61" t="s">
        <v>1588</v>
      </c>
      <c r="G14" s="61" t="s">
        <v>1588</v>
      </c>
      <c r="H14" s="61" t="s">
        <v>1589</v>
      </c>
      <c r="I14" s="61" t="s">
        <v>1679</v>
      </c>
      <c r="J14" s="61" t="s">
        <v>1588</v>
      </c>
      <c r="K14" s="61" t="s">
        <v>1680</v>
      </c>
      <c r="L14" s="61" t="s">
        <v>1681</v>
      </c>
      <c r="M14" s="61" t="s">
        <v>1588</v>
      </c>
      <c r="N14" s="61" t="s">
        <v>1588</v>
      </c>
      <c r="O14" s="61" t="s">
        <v>1594</v>
      </c>
      <c r="P14" s="61" t="s">
        <v>1595</v>
      </c>
      <c r="Q14" s="61" t="s">
        <v>1596</v>
      </c>
      <c r="R14" s="61" t="s">
        <v>1595</v>
      </c>
      <c r="S14" s="61" t="s">
        <v>1682</v>
      </c>
      <c r="T14" s="61" t="s">
        <v>1588</v>
      </c>
      <c r="U14" s="61" t="s">
        <v>1588</v>
      </c>
      <c r="V14" s="61" t="s">
        <v>1599</v>
      </c>
      <c r="W14" s="61" t="s">
        <v>1679</v>
      </c>
      <c r="X14" s="61" t="s">
        <v>1600</v>
      </c>
      <c r="Y14" s="1" t="str">
        <f t="shared" si="0"/>
        <v>1</v>
      </c>
      <c r="Z14" s="61" t="s">
        <v>1613</v>
      </c>
    </row>
    <row r="15" s="1" customFormat="1" ht="15" customHeight="1" spans="1:26">
      <c r="A15" s="59">
        <v>2141110020</v>
      </c>
      <c r="B15" s="61" t="s">
        <v>1683</v>
      </c>
      <c r="C15" s="61" t="s">
        <v>1684</v>
      </c>
      <c r="D15" s="61" t="s">
        <v>1685</v>
      </c>
      <c r="E15" s="61" t="s">
        <v>1588</v>
      </c>
      <c r="F15" s="61" t="s">
        <v>1588</v>
      </c>
      <c r="G15" s="61" t="s">
        <v>1588</v>
      </c>
      <c r="H15" s="61" t="s">
        <v>1606</v>
      </c>
      <c r="I15" s="61" t="s">
        <v>1607</v>
      </c>
      <c r="J15" s="61" t="s">
        <v>1588</v>
      </c>
      <c r="K15" s="61" t="s">
        <v>1686</v>
      </c>
      <c r="L15" s="61" t="s">
        <v>1687</v>
      </c>
      <c r="M15" s="61" t="s">
        <v>1588</v>
      </c>
      <c r="N15" s="61" t="s">
        <v>1688</v>
      </c>
      <c r="O15" s="61" t="s">
        <v>1594</v>
      </c>
      <c r="P15" s="61" t="s">
        <v>1595</v>
      </c>
      <c r="Q15" s="61" t="s">
        <v>1596</v>
      </c>
      <c r="R15" s="61" t="s">
        <v>1595</v>
      </c>
      <c r="S15" s="61" t="s">
        <v>1689</v>
      </c>
      <c r="T15" s="61" t="s">
        <v>1588</v>
      </c>
      <c r="U15" s="61" t="s">
        <v>1588</v>
      </c>
      <c r="V15" s="61" t="s">
        <v>1599</v>
      </c>
      <c r="W15" s="61" t="s">
        <v>1607</v>
      </c>
      <c r="X15" s="61" t="s">
        <v>1600</v>
      </c>
      <c r="Y15" s="1" t="str">
        <f t="shared" si="0"/>
        <v>1</v>
      </c>
      <c r="Z15" s="61" t="s">
        <v>1613</v>
      </c>
    </row>
    <row r="16" s="1" customFormat="1" ht="15" customHeight="1" spans="1:26">
      <c r="A16" s="59">
        <v>2141030060</v>
      </c>
      <c r="B16" s="61" t="s">
        <v>1690</v>
      </c>
      <c r="C16" s="61" t="s">
        <v>1691</v>
      </c>
      <c r="D16" s="61" t="s">
        <v>1692</v>
      </c>
      <c r="E16" s="61" t="s">
        <v>1588</v>
      </c>
      <c r="F16" s="61" t="s">
        <v>1588</v>
      </c>
      <c r="G16" s="61" t="s">
        <v>1588</v>
      </c>
      <c r="H16" s="61" t="s">
        <v>1606</v>
      </c>
      <c r="I16" s="61" t="s">
        <v>1607</v>
      </c>
      <c r="J16" s="61" t="s">
        <v>1588</v>
      </c>
      <c r="K16" s="61" t="s">
        <v>1693</v>
      </c>
      <c r="L16" s="61" t="s">
        <v>1694</v>
      </c>
      <c r="M16" s="61" t="s">
        <v>1588</v>
      </c>
      <c r="N16" s="61" t="s">
        <v>1588</v>
      </c>
      <c r="O16" s="61" t="s">
        <v>1594</v>
      </c>
      <c r="P16" s="61" t="s">
        <v>1595</v>
      </c>
      <c r="Q16" s="61" t="s">
        <v>1596</v>
      </c>
      <c r="R16" s="61" t="s">
        <v>1595</v>
      </c>
      <c r="S16" s="61" t="s">
        <v>1695</v>
      </c>
      <c r="T16" s="61" t="s">
        <v>1588</v>
      </c>
      <c r="U16" s="61" t="s">
        <v>1588</v>
      </c>
      <c r="V16" s="61" t="s">
        <v>1599</v>
      </c>
      <c r="W16" s="61" t="s">
        <v>1607</v>
      </c>
      <c r="X16" s="61" t="s">
        <v>1600</v>
      </c>
      <c r="Y16" s="1" t="str">
        <f t="shared" si="0"/>
        <v>1</v>
      </c>
      <c r="Z16" s="61" t="s">
        <v>1613</v>
      </c>
    </row>
    <row r="17" s="1" customFormat="1" ht="15" customHeight="1" spans="1:26">
      <c r="A17" s="59">
        <v>2141120010</v>
      </c>
      <c r="B17" s="61" t="s">
        <v>1696</v>
      </c>
      <c r="C17" s="61" t="s">
        <v>1697</v>
      </c>
      <c r="D17" s="61" t="s">
        <v>1698</v>
      </c>
      <c r="E17" s="61" t="s">
        <v>1588</v>
      </c>
      <c r="F17" s="61" t="s">
        <v>1588</v>
      </c>
      <c r="G17" s="61" t="s">
        <v>1588</v>
      </c>
      <c r="H17" s="61" t="s">
        <v>1589</v>
      </c>
      <c r="I17" s="61" t="s">
        <v>1679</v>
      </c>
      <c r="J17" s="61" t="s">
        <v>1588</v>
      </c>
      <c r="K17" s="61" t="s">
        <v>1699</v>
      </c>
      <c r="L17" s="61" t="s">
        <v>1588</v>
      </c>
      <c r="M17" s="61" t="s">
        <v>1588</v>
      </c>
      <c r="N17" s="61" t="s">
        <v>1588</v>
      </c>
      <c r="O17" s="61" t="s">
        <v>1594</v>
      </c>
      <c r="P17" s="61" t="s">
        <v>1595</v>
      </c>
      <c r="Q17" s="61" t="s">
        <v>1596</v>
      </c>
      <c r="R17" s="61" t="s">
        <v>1595</v>
      </c>
      <c r="S17" s="61" t="s">
        <v>1700</v>
      </c>
      <c r="T17" s="61" t="s">
        <v>1588</v>
      </c>
      <c r="U17" s="61" t="s">
        <v>1588</v>
      </c>
      <c r="V17" s="61" t="s">
        <v>1599</v>
      </c>
      <c r="W17" s="61" t="s">
        <v>1679</v>
      </c>
      <c r="X17" s="61" t="s">
        <v>1600</v>
      </c>
      <c r="Y17" s="1" t="str">
        <f t="shared" si="0"/>
        <v>1</v>
      </c>
      <c r="Z17" s="61" t="s">
        <v>1613</v>
      </c>
    </row>
    <row r="18" s="1" customFormat="1" ht="15" customHeight="1" spans="1:26">
      <c r="A18" s="59">
        <v>2141120020</v>
      </c>
      <c r="B18" s="61" t="s">
        <v>1701</v>
      </c>
      <c r="C18" s="61" t="s">
        <v>1702</v>
      </c>
      <c r="D18" s="61" t="s">
        <v>1703</v>
      </c>
      <c r="E18" s="61" t="s">
        <v>1588</v>
      </c>
      <c r="F18" s="61" t="s">
        <v>1605</v>
      </c>
      <c r="G18" s="61" t="s">
        <v>1588</v>
      </c>
      <c r="H18" s="61" t="s">
        <v>1606</v>
      </c>
      <c r="I18" s="61" t="s">
        <v>1607</v>
      </c>
      <c r="J18" s="61" t="s">
        <v>1588</v>
      </c>
      <c r="K18" s="61" t="s">
        <v>1704</v>
      </c>
      <c r="L18" s="61" t="s">
        <v>1588</v>
      </c>
      <c r="M18" s="61" t="s">
        <v>1588</v>
      </c>
      <c r="N18" s="61" t="s">
        <v>1588</v>
      </c>
      <c r="O18" s="61" t="s">
        <v>1594</v>
      </c>
      <c r="P18" s="61" t="s">
        <v>1595</v>
      </c>
      <c r="Q18" s="61" t="s">
        <v>1596</v>
      </c>
      <c r="R18" s="61" t="s">
        <v>1597</v>
      </c>
      <c r="S18" s="61" t="s">
        <v>1705</v>
      </c>
      <c r="T18" s="61" t="s">
        <v>1588</v>
      </c>
      <c r="U18" s="61" t="s">
        <v>1588</v>
      </c>
      <c r="V18" s="61" t="s">
        <v>1599</v>
      </c>
      <c r="W18" s="61" t="s">
        <v>1607</v>
      </c>
      <c r="X18" s="61" t="s">
        <v>1600</v>
      </c>
      <c r="Y18" s="1" t="str">
        <f t="shared" si="0"/>
        <v>1</v>
      </c>
      <c r="Z18" s="61" t="s">
        <v>1613</v>
      </c>
    </row>
    <row r="19" s="1" customFormat="1" ht="15" customHeight="1" spans="1:26">
      <c r="A19" s="59">
        <v>2141130010</v>
      </c>
      <c r="B19" s="61" t="s">
        <v>1706</v>
      </c>
      <c r="C19" s="61" t="s">
        <v>1707</v>
      </c>
      <c r="D19" s="61" t="s">
        <v>1708</v>
      </c>
      <c r="E19" s="61" t="s">
        <v>1588</v>
      </c>
      <c r="F19" s="61" t="s">
        <v>1605</v>
      </c>
      <c r="G19" s="61" t="s">
        <v>1588</v>
      </c>
      <c r="H19" s="61" t="s">
        <v>1606</v>
      </c>
      <c r="I19" s="61" t="s">
        <v>1607</v>
      </c>
      <c r="J19" s="61" t="s">
        <v>1588</v>
      </c>
      <c r="K19" s="61" t="s">
        <v>1709</v>
      </c>
      <c r="L19" s="61" t="s">
        <v>1710</v>
      </c>
      <c r="M19" s="61" t="s">
        <v>1588</v>
      </c>
      <c r="N19" s="61" t="s">
        <v>1711</v>
      </c>
      <c r="O19" s="61" t="s">
        <v>1594</v>
      </c>
      <c r="P19" s="61" t="s">
        <v>1595</v>
      </c>
      <c r="Q19" s="61" t="s">
        <v>1596</v>
      </c>
      <c r="R19" s="61" t="s">
        <v>1712</v>
      </c>
      <c r="S19" s="61" t="s">
        <v>1713</v>
      </c>
      <c r="T19" s="61" t="s">
        <v>1588</v>
      </c>
      <c r="U19" s="61" t="s">
        <v>1588</v>
      </c>
      <c r="V19" s="61" t="s">
        <v>1599</v>
      </c>
      <c r="W19" s="61" t="s">
        <v>1607</v>
      </c>
      <c r="X19" s="61" t="s">
        <v>1600</v>
      </c>
      <c r="Y19" s="1" t="str">
        <f t="shared" si="0"/>
        <v>1</v>
      </c>
      <c r="Z19" s="61" t="s">
        <v>1613</v>
      </c>
    </row>
    <row r="20" s="1" customFormat="1" ht="15" customHeight="1" spans="1:26">
      <c r="A20" s="59">
        <v>2141020190</v>
      </c>
      <c r="B20" s="61" t="s">
        <v>1714</v>
      </c>
      <c r="C20" s="61" t="s">
        <v>1715</v>
      </c>
      <c r="D20" s="61" t="s">
        <v>1716</v>
      </c>
      <c r="E20" s="61" t="s">
        <v>1588</v>
      </c>
      <c r="F20" s="61" t="s">
        <v>1588</v>
      </c>
      <c r="G20" s="61" t="s">
        <v>1588</v>
      </c>
      <c r="H20" s="61" t="s">
        <v>1589</v>
      </c>
      <c r="I20" s="61" t="s">
        <v>1590</v>
      </c>
      <c r="J20" s="61" t="s">
        <v>1588</v>
      </c>
      <c r="K20" s="61" t="s">
        <v>1717</v>
      </c>
      <c r="L20" s="61" t="s">
        <v>1718</v>
      </c>
      <c r="M20" s="61" t="s">
        <v>1588</v>
      </c>
      <c r="N20" s="61" t="s">
        <v>1719</v>
      </c>
      <c r="O20" s="61" t="s">
        <v>1594</v>
      </c>
      <c r="P20" s="61" t="s">
        <v>1595</v>
      </c>
      <c r="Q20" s="61" t="s">
        <v>1596</v>
      </c>
      <c r="R20" s="61" t="s">
        <v>1595</v>
      </c>
      <c r="S20" s="61" t="s">
        <v>1720</v>
      </c>
      <c r="T20" s="61" t="s">
        <v>1588</v>
      </c>
      <c r="U20" s="61" t="s">
        <v>1588</v>
      </c>
      <c r="V20" s="61" t="s">
        <v>1599</v>
      </c>
      <c r="W20" s="61" t="s">
        <v>1590</v>
      </c>
      <c r="X20" s="61" t="s">
        <v>1600</v>
      </c>
      <c r="Y20" s="1" t="str">
        <f t="shared" si="0"/>
        <v>1</v>
      </c>
      <c r="Z20" s="61" t="s">
        <v>1613</v>
      </c>
    </row>
    <row r="21" s="1" customFormat="1" ht="15" customHeight="1" spans="1:26">
      <c r="A21" s="59">
        <v>2141010120</v>
      </c>
      <c r="B21" s="61" t="s">
        <v>1721</v>
      </c>
      <c r="C21" s="61" t="s">
        <v>1722</v>
      </c>
      <c r="D21" s="61" t="s">
        <v>1723</v>
      </c>
      <c r="E21" s="61" t="s">
        <v>1588</v>
      </c>
      <c r="F21" s="61" t="s">
        <v>1588</v>
      </c>
      <c r="G21" s="61" t="s">
        <v>1588</v>
      </c>
      <c r="H21" s="61" t="s">
        <v>1589</v>
      </c>
      <c r="I21" s="61" t="s">
        <v>1590</v>
      </c>
      <c r="J21" s="61" t="s">
        <v>1588</v>
      </c>
      <c r="K21" s="61" t="s">
        <v>1724</v>
      </c>
      <c r="L21" s="61" t="s">
        <v>1725</v>
      </c>
      <c r="M21" s="61" t="s">
        <v>1588</v>
      </c>
      <c r="N21" s="61" t="s">
        <v>1726</v>
      </c>
      <c r="O21" s="61" t="s">
        <v>1594</v>
      </c>
      <c r="P21" s="61" t="s">
        <v>1727</v>
      </c>
      <c r="Q21" s="61" t="s">
        <v>1728</v>
      </c>
      <c r="R21" s="61" t="s">
        <v>1597</v>
      </c>
      <c r="S21" s="61" t="s">
        <v>1729</v>
      </c>
      <c r="T21" s="61" t="s">
        <v>1588</v>
      </c>
      <c r="U21" s="61" t="s">
        <v>1588</v>
      </c>
      <c r="V21" s="61" t="s">
        <v>1599</v>
      </c>
      <c r="W21" s="61" t="s">
        <v>1590</v>
      </c>
      <c r="X21" s="61" t="s">
        <v>1600</v>
      </c>
      <c r="Y21" s="1" t="str">
        <f t="shared" si="0"/>
        <v>2</v>
      </c>
      <c r="Z21" s="61" t="s">
        <v>1601</v>
      </c>
    </row>
    <row r="22" s="1" customFormat="1" ht="15" customHeight="1" spans="1:26">
      <c r="A22" s="59">
        <v>2141010130</v>
      </c>
      <c r="B22" s="61" t="s">
        <v>1730</v>
      </c>
      <c r="C22" s="61" t="s">
        <v>1731</v>
      </c>
      <c r="D22" s="61" t="s">
        <v>1732</v>
      </c>
      <c r="E22" s="61" t="s">
        <v>1588</v>
      </c>
      <c r="F22" s="61" t="s">
        <v>1588</v>
      </c>
      <c r="G22" s="61" t="s">
        <v>1588</v>
      </c>
      <c r="H22" s="61" t="s">
        <v>1606</v>
      </c>
      <c r="I22" s="61" t="s">
        <v>1607</v>
      </c>
      <c r="J22" s="61" t="s">
        <v>1588</v>
      </c>
      <c r="K22" s="61" t="s">
        <v>1733</v>
      </c>
      <c r="L22" s="61" t="s">
        <v>1734</v>
      </c>
      <c r="M22" s="61" t="s">
        <v>1588</v>
      </c>
      <c r="N22" s="61" t="s">
        <v>1735</v>
      </c>
      <c r="O22" s="61" t="s">
        <v>1594</v>
      </c>
      <c r="P22" s="61" t="s">
        <v>1727</v>
      </c>
      <c r="Q22" s="61" t="s">
        <v>1736</v>
      </c>
      <c r="R22" s="61" t="s">
        <v>1595</v>
      </c>
      <c r="S22" s="61" t="s">
        <v>1737</v>
      </c>
      <c r="T22" s="61" t="s">
        <v>1588</v>
      </c>
      <c r="U22" s="61" t="s">
        <v>1588</v>
      </c>
      <c r="V22" s="61" t="s">
        <v>1738</v>
      </c>
      <c r="W22" s="61" t="s">
        <v>1607</v>
      </c>
      <c r="X22" s="61" t="s">
        <v>1600</v>
      </c>
      <c r="Y22" s="1" t="str">
        <f t="shared" si="0"/>
        <v>1</v>
      </c>
      <c r="Z22" s="61" t="s">
        <v>1613</v>
      </c>
    </row>
    <row r="23" s="1" customFormat="1" ht="15" customHeight="1" spans="1:26">
      <c r="A23" s="59">
        <v>2141140010</v>
      </c>
      <c r="B23" s="61" t="s">
        <v>1739</v>
      </c>
      <c r="C23" s="61" t="s">
        <v>1740</v>
      </c>
      <c r="D23" s="61" t="s">
        <v>1741</v>
      </c>
      <c r="E23" s="61" t="s">
        <v>1588</v>
      </c>
      <c r="F23" s="61" t="s">
        <v>1588</v>
      </c>
      <c r="G23" s="61" t="s">
        <v>1588</v>
      </c>
      <c r="H23" s="61" t="s">
        <v>1606</v>
      </c>
      <c r="I23" s="61" t="s">
        <v>1607</v>
      </c>
      <c r="J23" s="61" t="s">
        <v>1588</v>
      </c>
      <c r="K23" s="61" t="s">
        <v>1742</v>
      </c>
      <c r="L23" s="61" t="s">
        <v>1743</v>
      </c>
      <c r="M23" s="61" t="s">
        <v>1588</v>
      </c>
      <c r="N23" s="61" t="s">
        <v>1744</v>
      </c>
      <c r="O23" s="61" t="s">
        <v>1594</v>
      </c>
      <c r="P23" s="61" t="s">
        <v>1727</v>
      </c>
      <c r="Q23" s="61" t="s">
        <v>1745</v>
      </c>
      <c r="R23" s="61" t="s">
        <v>1597</v>
      </c>
      <c r="S23" s="61" t="s">
        <v>1746</v>
      </c>
      <c r="T23" s="61" t="s">
        <v>1588</v>
      </c>
      <c r="U23" s="61" t="s">
        <v>1588</v>
      </c>
      <c r="V23" s="61" t="s">
        <v>1738</v>
      </c>
      <c r="W23" s="61" t="s">
        <v>1607</v>
      </c>
      <c r="X23" s="61" t="s">
        <v>1600</v>
      </c>
      <c r="Y23" s="1" t="str">
        <f t="shared" si="0"/>
        <v>1</v>
      </c>
      <c r="Z23" s="61" t="s">
        <v>1613</v>
      </c>
    </row>
    <row r="24" s="1" customFormat="1" ht="15" customHeight="1" spans="1:26">
      <c r="A24" s="59">
        <v>2141150010</v>
      </c>
      <c r="B24" s="61" t="s">
        <v>1747</v>
      </c>
      <c r="C24" s="61" t="s">
        <v>1748</v>
      </c>
      <c r="D24" s="61" t="s">
        <v>1749</v>
      </c>
      <c r="E24" s="61" t="s">
        <v>1588</v>
      </c>
      <c r="F24" s="61" t="s">
        <v>1605</v>
      </c>
      <c r="G24" s="61" t="s">
        <v>1588</v>
      </c>
      <c r="H24" s="61" t="s">
        <v>1589</v>
      </c>
      <c r="I24" s="61" t="s">
        <v>1590</v>
      </c>
      <c r="J24" s="61" t="s">
        <v>1588</v>
      </c>
      <c r="K24" s="61" t="s">
        <v>1750</v>
      </c>
      <c r="L24" s="61" t="s">
        <v>1751</v>
      </c>
      <c r="M24" s="61" t="s">
        <v>1588</v>
      </c>
      <c r="N24" s="61" t="s">
        <v>1752</v>
      </c>
      <c r="O24" s="61" t="s">
        <v>1594</v>
      </c>
      <c r="P24" s="61" t="s">
        <v>1727</v>
      </c>
      <c r="Q24" s="61" t="s">
        <v>1753</v>
      </c>
      <c r="R24" s="61" t="s">
        <v>1597</v>
      </c>
      <c r="S24" s="61" t="s">
        <v>1754</v>
      </c>
      <c r="T24" s="61" t="s">
        <v>1588</v>
      </c>
      <c r="U24" s="61" t="s">
        <v>1588</v>
      </c>
      <c r="V24" s="61" t="s">
        <v>1599</v>
      </c>
      <c r="W24" s="61" t="s">
        <v>1590</v>
      </c>
      <c r="X24" s="61" t="s">
        <v>1600</v>
      </c>
      <c r="Y24" s="1" t="str">
        <f t="shared" si="0"/>
        <v>1</v>
      </c>
      <c r="Z24" s="61" t="s">
        <v>1613</v>
      </c>
    </row>
    <row r="25" s="1" customFormat="1" ht="15" customHeight="1" spans="1:26">
      <c r="A25" s="59">
        <v>2141170010</v>
      </c>
      <c r="B25" s="61" t="s">
        <v>1755</v>
      </c>
      <c r="C25" s="61" t="s">
        <v>1756</v>
      </c>
      <c r="D25" s="61" t="s">
        <v>1757</v>
      </c>
      <c r="E25" s="61" t="s">
        <v>1588</v>
      </c>
      <c r="F25" s="61" t="s">
        <v>1588</v>
      </c>
      <c r="G25" s="61" t="s">
        <v>1588</v>
      </c>
      <c r="H25" s="61" t="s">
        <v>1606</v>
      </c>
      <c r="I25" s="61" t="s">
        <v>1607</v>
      </c>
      <c r="J25" s="61" t="s">
        <v>1588</v>
      </c>
      <c r="K25" s="61" t="s">
        <v>1758</v>
      </c>
      <c r="L25" s="61" t="s">
        <v>1759</v>
      </c>
      <c r="M25" s="61" t="s">
        <v>1588</v>
      </c>
      <c r="N25" s="61" t="s">
        <v>1760</v>
      </c>
      <c r="O25" s="61" t="s">
        <v>1594</v>
      </c>
      <c r="P25" s="61" t="s">
        <v>1727</v>
      </c>
      <c r="Q25" s="61" t="s">
        <v>1761</v>
      </c>
      <c r="R25" s="61" t="s">
        <v>1595</v>
      </c>
      <c r="S25" s="61" t="s">
        <v>1762</v>
      </c>
      <c r="T25" s="61" t="s">
        <v>1588</v>
      </c>
      <c r="U25" s="61" t="s">
        <v>1588</v>
      </c>
      <c r="V25" s="61" t="s">
        <v>1738</v>
      </c>
      <c r="W25" s="61" t="s">
        <v>1607</v>
      </c>
      <c r="X25" s="61" t="s">
        <v>1600</v>
      </c>
      <c r="Y25" s="1" t="str">
        <f t="shared" si="0"/>
        <v>1</v>
      </c>
      <c r="Z25" s="61" t="s">
        <v>1613</v>
      </c>
    </row>
    <row r="26" s="1" customFormat="1" ht="15" customHeight="1" spans="1:26">
      <c r="A26" s="59">
        <v>2141160010</v>
      </c>
      <c r="B26" s="61" t="s">
        <v>1763</v>
      </c>
      <c r="C26" s="61" t="s">
        <v>1764</v>
      </c>
      <c r="D26" s="61" t="s">
        <v>1765</v>
      </c>
      <c r="E26" s="61" t="s">
        <v>1588</v>
      </c>
      <c r="F26" s="61" t="s">
        <v>1588</v>
      </c>
      <c r="G26" s="61" t="s">
        <v>1588</v>
      </c>
      <c r="H26" s="61" t="s">
        <v>1766</v>
      </c>
      <c r="I26" s="61" t="s">
        <v>1767</v>
      </c>
      <c r="J26" s="61" t="s">
        <v>1588</v>
      </c>
      <c r="K26" s="61" t="s">
        <v>1768</v>
      </c>
      <c r="L26" s="61" t="s">
        <v>1769</v>
      </c>
      <c r="M26" s="61" t="s">
        <v>1588</v>
      </c>
      <c r="N26" s="61" t="s">
        <v>1770</v>
      </c>
      <c r="O26" s="61" t="s">
        <v>1594</v>
      </c>
      <c r="P26" s="61" t="s">
        <v>1727</v>
      </c>
      <c r="Q26" s="61" t="s">
        <v>1771</v>
      </c>
      <c r="R26" s="61" t="s">
        <v>1595</v>
      </c>
      <c r="S26" s="61" t="s">
        <v>1772</v>
      </c>
      <c r="T26" s="61" t="s">
        <v>1588</v>
      </c>
      <c r="U26" s="61" t="s">
        <v>1588</v>
      </c>
      <c r="V26" s="61" t="s">
        <v>1738</v>
      </c>
      <c r="W26" s="61" t="s">
        <v>1767</v>
      </c>
      <c r="X26" s="61" t="s">
        <v>1600</v>
      </c>
      <c r="Y26" s="1" t="str">
        <f t="shared" si="0"/>
        <v>1</v>
      </c>
      <c r="Z26" s="61" t="s">
        <v>1613</v>
      </c>
    </row>
    <row r="27" s="1" customFormat="1" ht="15" customHeight="1" spans="1:26">
      <c r="A27" s="59">
        <v>2141020200</v>
      </c>
      <c r="B27" s="61" t="s">
        <v>1773</v>
      </c>
      <c r="C27" s="61" t="s">
        <v>1774</v>
      </c>
      <c r="D27" s="61" t="s">
        <v>1775</v>
      </c>
      <c r="E27" s="61" t="s">
        <v>1588</v>
      </c>
      <c r="F27" s="61" t="s">
        <v>1605</v>
      </c>
      <c r="G27" s="61" t="s">
        <v>1588</v>
      </c>
      <c r="H27" s="61" t="s">
        <v>1589</v>
      </c>
      <c r="I27" s="61" t="s">
        <v>1590</v>
      </c>
      <c r="J27" s="61" t="s">
        <v>1588</v>
      </c>
      <c r="K27" s="61" t="s">
        <v>1776</v>
      </c>
      <c r="L27" s="61" t="s">
        <v>1777</v>
      </c>
      <c r="M27" s="61" t="s">
        <v>1588</v>
      </c>
      <c r="N27" s="61" t="s">
        <v>1778</v>
      </c>
      <c r="O27" s="61" t="s">
        <v>1594</v>
      </c>
      <c r="P27" s="61" t="s">
        <v>1727</v>
      </c>
      <c r="Q27" s="61" t="s">
        <v>1779</v>
      </c>
      <c r="R27" s="61" t="s">
        <v>1780</v>
      </c>
      <c r="S27" s="61" t="s">
        <v>1781</v>
      </c>
      <c r="T27" s="61" t="s">
        <v>1588</v>
      </c>
      <c r="U27" s="61" t="s">
        <v>1588</v>
      </c>
      <c r="V27" s="61" t="s">
        <v>1738</v>
      </c>
      <c r="W27" s="61" t="s">
        <v>1590</v>
      </c>
      <c r="X27" s="61" t="s">
        <v>1600</v>
      </c>
      <c r="Y27" s="1" t="str">
        <f t="shared" si="0"/>
        <v>1</v>
      </c>
      <c r="Z27" s="61" t="s">
        <v>1613</v>
      </c>
    </row>
    <row r="28" s="1" customFormat="1" ht="15" customHeight="1" spans="1:26">
      <c r="A28" s="59">
        <v>2141020240</v>
      </c>
      <c r="B28" s="61" t="s">
        <v>1782</v>
      </c>
      <c r="C28" s="61" t="s">
        <v>1783</v>
      </c>
      <c r="D28" s="61" t="s">
        <v>1784</v>
      </c>
      <c r="E28" s="61" t="s">
        <v>1588</v>
      </c>
      <c r="F28" s="61" t="s">
        <v>1588</v>
      </c>
      <c r="G28" s="61" t="s">
        <v>1588</v>
      </c>
      <c r="H28" s="61" t="s">
        <v>1589</v>
      </c>
      <c r="I28" s="61" t="s">
        <v>1590</v>
      </c>
      <c r="J28" s="61" t="s">
        <v>1588</v>
      </c>
      <c r="K28" s="61" t="s">
        <v>1785</v>
      </c>
      <c r="L28" s="61" t="s">
        <v>1786</v>
      </c>
      <c r="M28" s="61" t="s">
        <v>1588</v>
      </c>
      <c r="N28" s="61" t="s">
        <v>1787</v>
      </c>
      <c r="O28" s="61" t="s">
        <v>1594</v>
      </c>
      <c r="P28" s="61" t="s">
        <v>1788</v>
      </c>
      <c r="Q28" s="61" t="s">
        <v>1789</v>
      </c>
      <c r="R28" s="61" t="s">
        <v>1597</v>
      </c>
      <c r="S28" s="61" t="s">
        <v>1790</v>
      </c>
      <c r="T28" s="61" t="s">
        <v>1588</v>
      </c>
      <c r="U28" s="61" t="s">
        <v>1588</v>
      </c>
      <c r="V28" s="61" t="s">
        <v>1599</v>
      </c>
      <c r="W28" s="61" t="s">
        <v>1590</v>
      </c>
      <c r="X28" s="61" t="s">
        <v>1600</v>
      </c>
      <c r="Y28" s="1" t="str">
        <f t="shared" si="0"/>
        <v>2</v>
      </c>
      <c r="Z28" s="61" t="s">
        <v>1601</v>
      </c>
    </row>
    <row r="29" s="1" customFormat="1" ht="15" customHeight="1" spans="1:26">
      <c r="A29" s="59">
        <v>2141180010</v>
      </c>
      <c r="B29" s="61" t="s">
        <v>1791</v>
      </c>
      <c r="C29" s="61" t="s">
        <v>1792</v>
      </c>
      <c r="D29" s="61" t="s">
        <v>1793</v>
      </c>
      <c r="E29" s="61" t="s">
        <v>1588</v>
      </c>
      <c r="F29" s="61" t="s">
        <v>1605</v>
      </c>
      <c r="G29" s="61" t="s">
        <v>1588</v>
      </c>
      <c r="H29" s="61" t="s">
        <v>1794</v>
      </c>
      <c r="I29" s="61" t="s">
        <v>1679</v>
      </c>
      <c r="J29" s="61" t="s">
        <v>1588</v>
      </c>
      <c r="K29" s="61" t="s">
        <v>1795</v>
      </c>
      <c r="L29" s="61" t="s">
        <v>1796</v>
      </c>
      <c r="M29" s="61" t="s">
        <v>1588</v>
      </c>
      <c r="N29" s="61" t="s">
        <v>1797</v>
      </c>
      <c r="O29" s="61" t="s">
        <v>1594</v>
      </c>
      <c r="P29" s="61" t="s">
        <v>1798</v>
      </c>
      <c r="Q29" s="61" t="s">
        <v>1799</v>
      </c>
      <c r="R29" s="61" t="s">
        <v>1595</v>
      </c>
      <c r="S29" s="61" t="s">
        <v>1800</v>
      </c>
      <c r="T29" s="61" t="s">
        <v>1588</v>
      </c>
      <c r="U29" s="61" t="s">
        <v>1588</v>
      </c>
      <c r="V29" s="61" t="s">
        <v>1599</v>
      </c>
      <c r="W29" s="61" t="s">
        <v>1679</v>
      </c>
      <c r="X29" s="61" t="s">
        <v>1600</v>
      </c>
      <c r="Y29" s="1" t="str">
        <f t="shared" si="0"/>
        <v>1</v>
      </c>
      <c r="Z29" s="61" t="s">
        <v>1613</v>
      </c>
    </row>
    <row r="30" s="1" customFormat="1" ht="15" customHeight="1" spans="1:26">
      <c r="A30" s="59">
        <v>2141020110</v>
      </c>
      <c r="B30" s="61" t="s">
        <v>1625</v>
      </c>
      <c r="C30" s="61" t="s">
        <v>1801</v>
      </c>
      <c r="D30" s="61" t="s">
        <v>1627</v>
      </c>
      <c r="E30" s="61" t="s">
        <v>1588</v>
      </c>
      <c r="F30" s="61" t="s">
        <v>1588</v>
      </c>
      <c r="G30" s="61" t="s">
        <v>1588</v>
      </c>
      <c r="H30" s="61" t="s">
        <v>1589</v>
      </c>
      <c r="I30" s="61" t="s">
        <v>1590</v>
      </c>
      <c r="J30" s="61" t="s">
        <v>1588</v>
      </c>
      <c r="K30" s="61" t="s">
        <v>1802</v>
      </c>
      <c r="L30" s="61" t="s">
        <v>1803</v>
      </c>
      <c r="M30" s="61" t="s">
        <v>1588</v>
      </c>
      <c r="N30" s="61" t="s">
        <v>1804</v>
      </c>
      <c r="O30" s="61" t="s">
        <v>1594</v>
      </c>
      <c r="P30" s="61" t="s">
        <v>1597</v>
      </c>
      <c r="Q30" s="61" t="s">
        <v>1805</v>
      </c>
      <c r="R30" s="61" t="s">
        <v>1597</v>
      </c>
      <c r="S30" s="61" t="s">
        <v>1806</v>
      </c>
      <c r="T30" s="61" t="s">
        <v>1588</v>
      </c>
      <c r="U30" s="61" t="s">
        <v>1588</v>
      </c>
      <c r="V30" s="61" t="s">
        <v>1599</v>
      </c>
      <c r="W30" s="61" t="s">
        <v>1590</v>
      </c>
      <c r="X30" s="61" t="s">
        <v>1600</v>
      </c>
      <c r="Y30" s="1" t="str">
        <f t="shared" si="0"/>
        <v>2</v>
      </c>
      <c r="Z30" s="61" t="s">
        <v>1601</v>
      </c>
    </row>
    <row r="31" s="1" customFormat="1" ht="15" customHeight="1" spans="1:26">
      <c r="A31" s="59">
        <v>2141030020</v>
      </c>
      <c r="B31" s="61" t="s">
        <v>1602</v>
      </c>
      <c r="C31" s="61" t="s">
        <v>1807</v>
      </c>
      <c r="D31" s="61" t="s">
        <v>1604</v>
      </c>
      <c r="E31" s="61" t="s">
        <v>1588</v>
      </c>
      <c r="F31" s="61" t="s">
        <v>1605</v>
      </c>
      <c r="G31" s="61" t="s">
        <v>1588</v>
      </c>
      <c r="H31" s="61" t="s">
        <v>1606</v>
      </c>
      <c r="I31" s="61" t="s">
        <v>1607</v>
      </c>
      <c r="J31" s="61" t="s">
        <v>1588</v>
      </c>
      <c r="K31" s="61" t="s">
        <v>703</v>
      </c>
      <c r="L31" s="61" t="s">
        <v>1808</v>
      </c>
      <c r="M31" s="61" t="s">
        <v>1588</v>
      </c>
      <c r="N31" s="61" t="s">
        <v>1809</v>
      </c>
      <c r="O31" s="61" t="s">
        <v>1611</v>
      </c>
      <c r="P31" s="61" t="s">
        <v>1597</v>
      </c>
      <c r="Q31" s="61" t="s">
        <v>1810</v>
      </c>
      <c r="R31" s="61" t="s">
        <v>1597</v>
      </c>
      <c r="S31" s="61" t="s">
        <v>1612</v>
      </c>
      <c r="T31" s="61" t="s">
        <v>1588</v>
      </c>
      <c r="U31" s="61" t="s">
        <v>1588</v>
      </c>
      <c r="V31" s="61" t="s">
        <v>1599</v>
      </c>
      <c r="W31" s="61" t="s">
        <v>1607</v>
      </c>
      <c r="X31" s="61" t="s">
        <v>1600</v>
      </c>
      <c r="Y31" s="1" t="str">
        <f t="shared" si="0"/>
        <v>1</v>
      </c>
      <c r="Z31" s="61" t="s">
        <v>1613</v>
      </c>
    </row>
    <row r="32" s="1" customFormat="1" ht="15" customHeight="1" spans="1:26">
      <c r="A32" s="59">
        <v>2141030020</v>
      </c>
      <c r="B32" s="61" t="s">
        <v>1602</v>
      </c>
      <c r="C32" s="61" t="s">
        <v>1811</v>
      </c>
      <c r="D32" s="61" t="s">
        <v>1604</v>
      </c>
      <c r="E32" s="61" t="s">
        <v>1588</v>
      </c>
      <c r="F32" s="61" t="s">
        <v>1605</v>
      </c>
      <c r="G32" s="61" t="s">
        <v>1588</v>
      </c>
      <c r="H32" s="61" t="s">
        <v>1606</v>
      </c>
      <c r="I32" s="61" t="s">
        <v>1607</v>
      </c>
      <c r="J32" s="61" t="s">
        <v>1588</v>
      </c>
      <c r="K32" s="61" t="s">
        <v>1812</v>
      </c>
      <c r="L32" s="61" t="s">
        <v>1813</v>
      </c>
      <c r="M32" s="61" t="s">
        <v>1588</v>
      </c>
      <c r="N32" s="61" t="s">
        <v>1814</v>
      </c>
      <c r="O32" s="61" t="s">
        <v>1611</v>
      </c>
      <c r="P32" s="61" t="s">
        <v>1597</v>
      </c>
      <c r="Q32" s="61" t="s">
        <v>1815</v>
      </c>
      <c r="R32" s="61" t="s">
        <v>1597</v>
      </c>
      <c r="S32" s="61" t="s">
        <v>1612</v>
      </c>
      <c r="T32" s="61" t="s">
        <v>1588</v>
      </c>
      <c r="U32" s="61" t="s">
        <v>1588</v>
      </c>
      <c r="V32" s="61" t="s">
        <v>1599</v>
      </c>
      <c r="W32" s="61" t="s">
        <v>1607</v>
      </c>
      <c r="X32" s="61" t="s">
        <v>1600</v>
      </c>
      <c r="Y32" s="1" t="str">
        <f t="shared" si="0"/>
        <v>1</v>
      </c>
      <c r="Z32" s="61" t="s">
        <v>1613</v>
      </c>
    </row>
    <row r="33" s="1" customFormat="1" ht="15" customHeight="1" spans="1:26">
      <c r="A33" s="59">
        <v>2141030020</v>
      </c>
      <c r="B33" s="61" t="s">
        <v>1602</v>
      </c>
      <c r="C33" s="61" t="s">
        <v>1816</v>
      </c>
      <c r="D33" s="61" t="s">
        <v>1604</v>
      </c>
      <c r="E33" s="61" t="s">
        <v>1588</v>
      </c>
      <c r="F33" s="61" t="s">
        <v>1588</v>
      </c>
      <c r="G33" s="61" t="s">
        <v>1588</v>
      </c>
      <c r="H33" s="61" t="s">
        <v>1606</v>
      </c>
      <c r="I33" s="61" t="s">
        <v>1607</v>
      </c>
      <c r="J33" s="61" t="s">
        <v>1588</v>
      </c>
      <c r="K33" s="61" t="s">
        <v>1817</v>
      </c>
      <c r="L33" s="61" t="s">
        <v>1818</v>
      </c>
      <c r="M33" s="61" t="s">
        <v>1588</v>
      </c>
      <c r="N33" s="61" t="s">
        <v>1819</v>
      </c>
      <c r="O33" s="61" t="s">
        <v>1611</v>
      </c>
      <c r="P33" s="61" t="s">
        <v>1597</v>
      </c>
      <c r="Q33" s="61" t="s">
        <v>1820</v>
      </c>
      <c r="R33" s="61" t="s">
        <v>1597</v>
      </c>
      <c r="S33" s="61" t="s">
        <v>1821</v>
      </c>
      <c r="T33" s="61" t="s">
        <v>1588</v>
      </c>
      <c r="U33" s="61" t="s">
        <v>1588</v>
      </c>
      <c r="V33" s="61" t="s">
        <v>1599</v>
      </c>
      <c r="W33" s="61" t="s">
        <v>1607</v>
      </c>
      <c r="X33" s="61" t="s">
        <v>1600</v>
      </c>
      <c r="Y33" s="1" t="str">
        <f t="shared" si="0"/>
        <v>1</v>
      </c>
      <c r="Z33" s="61" t="s">
        <v>1613</v>
      </c>
    </row>
    <row r="34" s="1" customFormat="1" ht="15" customHeight="1" spans="1:26">
      <c r="A34" s="59">
        <v>2141030020</v>
      </c>
      <c r="B34" s="61" t="s">
        <v>1602</v>
      </c>
      <c r="C34" s="61" t="s">
        <v>1822</v>
      </c>
      <c r="D34" s="61" t="s">
        <v>1604</v>
      </c>
      <c r="E34" s="61" t="s">
        <v>1588</v>
      </c>
      <c r="F34" s="61" t="s">
        <v>1605</v>
      </c>
      <c r="G34" s="61" t="s">
        <v>1588</v>
      </c>
      <c r="H34" s="61" t="s">
        <v>1606</v>
      </c>
      <c r="I34" s="61" t="s">
        <v>1607</v>
      </c>
      <c r="J34" s="61" t="s">
        <v>1588</v>
      </c>
      <c r="K34" s="61" t="s">
        <v>1823</v>
      </c>
      <c r="L34" s="61" t="s">
        <v>1824</v>
      </c>
      <c r="M34" s="61" t="s">
        <v>1588</v>
      </c>
      <c r="N34" s="61" t="s">
        <v>1825</v>
      </c>
      <c r="O34" s="61" t="s">
        <v>1611</v>
      </c>
      <c r="P34" s="61" t="s">
        <v>1597</v>
      </c>
      <c r="Q34" s="61" t="s">
        <v>1826</v>
      </c>
      <c r="R34" s="61" t="s">
        <v>1597</v>
      </c>
      <c r="S34" s="61" t="s">
        <v>1612</v>
      </c>
      <c r="T34" s="61" t="s">
        <v>1588</v>
      </c>
      <c r="U34" s="61" t="s">
        <v>1588</v>
      </c>
      <c r="V34" s="61" t="s">
        <v>1599</v>
      </c>
      <c r="W34" s="61" t="s">
        <v>1607</v>
      </c>
      <c r="X34" s="61" t="s">
        <v>1600</v>
      </c>
      <c r="Y34" s="1" t="str">
        <f t="shared" si="0"/>
        <v>1</v>
      </c>
      <c r="Z34" s="61" t="s">
        <v>1613</v>
      </c>
    </row>
    <row r="35" s="1" customFormat="1" ht="15" customHeight="1" spans="1:26">
      <c r="A35" s="59">
        <v>2141020030</v>
      </c>
      <c r="B35" s="61" t="s">
        <v>1827</v>
      </c>
      <c r="C35" s="61" t="s">
        <v>1828</v>
      </c>
      <c r="D35" s="61" t="s">
        <v>1829</v>
      </c>
      <c r="E35" s="61" t="s">
        <v>1588</v>
      </c>
      <c r="F35" s="61" t="s">
        <v>1588</v>
      </c>
      <c r="G35" s="61" t="s">
        <v>1588</v>
      </c>
      <c r="H35" s="61" t="s">
        <v>1589</v>
      </c>
      <c r="I35" s="61" t="s">
        <v>1590</v>
      </c>
      <c r="J35" s="61" t="s">
        <v>1588</v>
      </c>
      <c r="K35" s="61" t="s">
        <v>1830</v>
      </c>
      <c r="L35" s="61" t="s">
        <v>1831</v>
      </c>
      <c r="M35" s="61" t="s">
        <v>1588</v>
      </c>
      <c r="N35" s="61" t="s">
        <v>1832</v>
      </c>
      <c r="O35" s="61" t="s">
        <v>1611</v>
      </c>
      <c r="P35" s="61" t="s">
        <v>1597</v>
      </c>
      <c r="Q35" s="61" t="s">
        <v>1833</v>
      </c>
      <c r="R35" s="61" t="s">
        <v>1597</v>
      </c>
      <c r="S35" s="61" t="s">
        <v>1834</v>
      </c>
      <c r="T35" s="61" t="s">
        <v>1588</v>
      </c>
      <c r="U35" s="61" t="s">
        <v>1588</v>
      </c>
      <c r="V35" s="61" t="s">
        <v>1599</v>
      </c>
      <c r="W35" s="61" t="s">
        <v>1590</v>
      </c>
      <c r="X35" s="61" t="s">
        <v>1600</v>
      </c>
      <c r="Y35" s="1" t="str">
        <f t="shared" si="0"/>
        <v>2</v>
      </c>
      <c r="Z35" s="61" t="s">
        <v>1601</v>
      </c>
    </row>
    <row r="36" s="1" customFormat="1" ht="15" customHeight="1" spans="1:26">
      <c r="A36" s="59">
        <v>2141020030</v>
      </c>
      <c r="B36" s="61" t="s">
        <v>1827</v>
      </c>
      <c r="C36" s="61" t="s">
        <v>1835</v>
      </c>
      <c r="D36" s="61" t="s">
        <v>1829</v>
      </c>
      <c r="E36" s="61" t="s">
        <v>1588</v>
      </c>
      <c r="F36" s="61" t="s">
        <v>1588</v>
      </c>
      <c r="G36" s="61" t="s">
        <v>1588</v>
      </c>
      <c r="H36" s="61" t="s">
        <v>1589</v>
      </c>
      <c r="I36" s="61" t="s">
        <v>1590</v>
      </c>
      <c r="J36" s="61" t="s">
        <v>1588</v>
      </c>
      <c r="K36" s="61" t="s">
        <v>1830</v>
      </c>
      <c r="L36" s="61" t="s">
        <v>1836</v>
      </c>
      <c r="M36" s="61" t="s">
        <v>1588</v>
      </c>
      <c r="N36" s="61" t="s">
        <v>1837</v>
      </c>
      <c r="O36" s="61" t="s">
        <v>1611</v>
      </c>
      <c r="P36" s="61" t="s">
        <v>1597</v>
      </c>
      <c r="Q36" s="61" t="s">
        <v>1838</v>
      </c>
      <c r="R36" s="61" t="s">
        <v>1597</v>
      </c>
      <c r="S36" s="61" t="s">
        <v>1839</v>
      </c>
      <c r="T36" s="61" t="s">
        <v>1588</v>
      </c>
      <c r="U36" s="61" t="s">
        <v>1588</v>
      </c>
      <c r="V36" s="61" t="s">
        <v>1599</v>
      </c>
      <c r="W36" s="61" t="s">
        <v>1590</v>
      </c>
      <c r="X36" s="61" t="s">
        <v>1600</v>
      </c>
      <c r="Y36" s="1" t="str">
        <f t="shared" si="0"/>
        <v>2</v>
      </c>
      <c r="Z36" s="61" t="s">
        <v>1601</v>
      </c>
    </row>
    <row r="37" s="1" customFormat="1" ht="15" customHeight="1" spans="1:26">
      <c r="A37" s="59">
        <v>2141020030</v>
      </c>
      <c r="B37" s="61" t="s">
        <v>1827</v>
      </c>
      <c r="C37" s="61" t="s">
        <v>1840</v>
      </c>
      <c r="D37" s="61" t="s">
        <v>1829</v>
      </c>
      <c r="E37" s="61" t="s">
        <v>1588</v>
      </c>
      <c r="F37" s="61" t="s">
        <v>1588</v>
      </c>
      <c r="G37" s="61" t="s">
        <v>1588</v>
      </c>
      <c r="H37" s="61" t="s">
        <v>1589</v>
      </c>
      <c r="I37" s="61" t="s">
        <v>1590</v>
      </c>
      <c r="J37" s="61" t="s">
        <v>1588</v>
      </c>
      <c r="K37" s="61" t="s">
        <v>1841</v>
      </c>
      <c r="L37" s="61" t="s">
        <v>1836</v>
      </c>
      <c r="M37" s="61" t="s">
        <v>1588</v>
      </c>
      <c r="N37" s="61" t="s">
        <v>1842</v>
      </c>
      <c r="O37" s="61" t="s">
        <v>1611</v>
      </c>
      <c r="P37" s="61" t="s">
        <v>1597</v>
      </c>
      <c r="Q37" s="61" t="s">
        <v>1843</v>
      </c>
      <c r="R37" s="61" t="s">
        <v>1597</v>
      </c>
      <c r="S37" s="61" t="s">
        <v>1844</v>
      </c>
      <c r="T37" s="61" t="s">
        <v>1588</v>
      </c>
      <c r="U37" s="61" t="s">
        <v>1588</v>
      </c>
      <c r="V37" s="61" t="s">
        <v>1599</v>
      </c>
      <c r="W37" s="61" t="s">
        <v>1590</v>
      </c>
      <c r="X37" s="61" t="s">
        <v>1600</v>
      </c>
      <c r="Y37" s="1" t="str">
        <f t="shared" si="0"/>
        <v>2</v>
      </c>
      <c r="Z37" s="61" t="s">
        <v>1601</v>
      </c>
    </row>
    <row r="38" s="1" customFormat="1" ht="15" customHeight="1" spans="1:26">
      <c r="A38" s="59">
        <v>2141020030</v>
      </c>
      <c r="B38" s="61" t="s">
        <v>1827</v>
      </c>
      <c r="C38" s="61" t="s">
        <v>1845</v>
      </c>
      <c r="D38" s="61" t="s">
        <v>1829</v>
      </c>
      <c r="E38" s="61" t="s">
        <v>1588</v>
      </c>
      <c r="F38" s="61" t="s">
        <v>1588</v>
      </c>
      <c r="G38" s="61" t="s">
        <v>1588</v>
      </c>
      <c r="H38" s="61" t="s">
        <v>1606</v>
      </c>
      <c r="I38" s="61" t="s">
        <v>1607</v>
      </c>
      <c r="J38" s="61" t="s">
        <v>1588</v>
      </c>
      <c r="K38" s="61" t="s">
        <v>1846</v>
      </c>
      <c r="L38" s="61" t="s">
        <v>1847</v>
      </c>
      <c r="M38" s="61" t="s">
        <v>1588</v>
      </c>
      <c r="N38" s="61" t="s">
        <v>1848</v>
      </c>
      <c r="O38" s="61" t="s">
        <v>1611</v>
      </c>
      <c r="P38" s="61" t="s">
        <v>1597</v>
      </c>
      <c r="Q38" s="61" t="s">
        <v>1849</v>
      </c>
      <c r="R38" s="61" t="s">
        <v>1597</v>
      </c>
      <c r="S38" s="61" t="s">
        <v>1850</v>
      </c>
      <c r="T38" s="61" t="s">
        <v>1588</v>
      </c>
      <c r="U38" s="61" t="s">
        <v>1588</v>
      </c>
      <c r="V38" s="61" t="s">
        <v>1599</v>
      </c>
      <c r="W38" s="61" t="s">
        <v>1607</v>
      </c>
      <c r="X38" s="61" t="s">
        <v>1600</v>
      </c>
      <c r="Y38" s="1" t="str">
        <f t="shared" si="0"/>
        <v>1</v>
      </c>
      <c r="Z38" s="61" t="s">
        <v>1613</v>
      </c>
    </row>
    <row r="39" s="1" customFormat="1" ht="15" customHeight="1" spans="1:26">
      <c r="A39" s="59">
        <v>2141020030</v>
      </c>
      <c r="B39" s="61" t="s">
        <v>1827</v>
      </c>
      <c r="C39" s="61" t="s">
        <v>1851</v>
      </c>
      <c r="D39" s="61" t="s">
        <v>1829</v>
      </c>
      <c r="E39" s="61" t="s">
        <v>1588</v>
      </c>
      <c r="F39" s="61" t="s">
        <v>1588</v>
      </c>
      <c r="G39" s="61" t="s">
        <v>1588</v>
      </c>
      <c r="H39" s="61" t="s">
        <v>1766</v>
      </c>
      <c r="I39" s="61" t="s">
        <v>1767</v>
      </c>
      <c r="J39" s="61" t="s">
        <v>1588</v>
      </c>
      <c r="K39" s="61" t="s">
        <v>1852</v>
      </c>
      <c r="L39" s="61" t="s">
        <v>1853</v>
      </c>
      <c r="M39" s="61" t="s">
        <v>1588</v>
      </c>
      <c r="N39" s="61" t="s">
        <v>1854</v>
      </c>
      <c r="O39" s="61" t="s">
        <v>1611</v>
      </c>
      <c r="P39" s="61" t="s">
        <v>1597</v>
      </c>
      <c r="Q39" s="61" t="s">
        <v>1855</v>
      </c>
      <c r="R39" s="61" t="s">
        <v>1597</v>
      </c>
      <c r="S39" s="61" t="s">
        <v>1856</v>
      </c>
      <c r="T39" s="61" t="s">
        <v>1588</v>
      </c>
      <c r="U39" s="61" t="s">
        <v>1588</v>
      </c>
      <c r="V39" s="61" t="s">
        <v>1599</v>
      </c>
      <c r="W39" s="61" t="s">
        <v>1767</v>
      </c>
      <c r="X39" s="61" t="s">
        <v>1600</v>
      </c>
      <c r="Y39" s="1" t="str">
        <f t="shared" si="0"/>
        <v>1</v>
      </c>
      <c r="Z39" s="61" t="s">
        <v>1613</v>
      </c>
    </row>
    <row r="40" s="1" customFormat="1" ht="15" customHeight="1" spans="1:26">
      <c r="A40" s="59">
        <v>2141150010</v>
      </c>
      <c r="B40" s="61" t="s">
        <v>1747</v>
      </c>
      <c r="C40" s="61" t="s">
        <v>1857</v>
      </c>
      <c r="D40" s="61" t="s">
        <v>1749</v>
      </c>
      <c r="E40" s="61" t="s">
        <v>1588</v>
      </c>
      <c r="F40" s="61" t="s">
        <v>1605</v>
      </c>
      <c r="G40" s="61" t="s">
        <v>1588</v>
      </c>
      <c r="H40" s="61" t="s">
        <v>1589</v>
      </c>
      <c r="I40" s="61" t="s">
        <v>1590</v>
      </c>
      <c r="J40" s="61" t="s">
        <v>1588</v>
      </c>
      <c r="K40" s="61" t="s">
        <v>1830</v>
      </c>
      <c r="L40" s="61" t="s">
        <v>1836</v>
      </c>
      <c r="M40" s="61" t="s">
        <v>1588</v>
      </c>
      <c r="N40" s="61" t="s">
        <v>1858</v>
      </c>
      <c r="O40" s="61" t="s">
        <v>1611</v>
      </c>
      <c r="P40" s="61" t="s">
        <v>1597</v>
      </c>
      <c r="Q40" s="61" t="s">
        <v>1859</v>
      </c>
      <c r="R40" s="61" t="s">
        <v>1597</v>
      </c>
      <c r="S40" s="61" t="s">
        <v>1754</v>
      </c>
      <c r="T40" s="61" t="s">
        <v>1588</v>
      </c>
      <c r="U40" s="61" t="s">
        <v>1588</v>
      </c>
      <c r="V40" s="61" t="s">
        <v>1599</v>
      </c>
      <c r="W40" s="61" t="s">
        <v>1590</v>
      </c>
      <c r="X40" s="61" t="s">
        <v>1600</v>
      </c>
      <c r="Y40" s="1" t="str">
        <f t="shared" si="0"/>
        <v>1</v>
      </c>
      <c r="Z40" s="61" t="s">
        <v>1613</v>
      </c>
    </row>
    <row r="41" s="1" customFormat="1" ht="15" customHeight="1" spans="1:26">
      <c r="A41" s="59">
        <v>2141030020</v>
      </c>
      <c r="B41" s="61" t="s">
        <v>1602</v>
      </c>
      <c r="C41" s="61" t="s">
        <v>1860</v>
      </c>
      <c r="D41" s="61" t="s">
        <v>1604</v>
      </c>
      <c r="E41" s="61" t="s">
        <v>1588</v>
      </c>
      <c r="F41" s="61" t="s">
        <v>1588</v>
      </c>
      <c r="G41" s="61" t="s">
        <v>1588</v>
      </c>
      <c r="H41" s="61" t="s">
        <v>1588</v>
      </c>
      <c r="I41" s="61" t="s">
        <v>1607</v>
      </c>
      <c r="J41" s="61" t="s">
        <v>1588</v>
      </c>
      <c r="K41" s="61" t="s">
        <v>1861</v>
      </c>
      <c r="L41" s="61" t="s">
        <v>1862</v>
      </c>
      <c r="M41" s="61" t="s">
        <v>1588</v>
      </c>
      <c r="N41" s="61" t="s">
        <v>1863</v>
      </c>
      <c r="O41" s="61" t="s">
        <v>1611</v>
      </c>
      <c r="P41" s="61" t="s">
        <v>1597</v>
      </c>
      <c r="Q41" s="61" t="s">
        <v>1864</v>
      </c>
      <c r="R41" s="61" t="s">
        <v>1597</v>
      </c>
      <c r="S41" s="61" t="s">
        <v>1864</v>
      </c>
      <c r="T41" s="61" t="s">
        <v>1588</v>
      </c>
      <c r="U41" s="61" t="s">
        <v>1588</v>
      </c>
      <c r="V41" s="61" t="s">
        <v>1599</v>
      </c>
      <c r="W41" s="61" t="s">
        <v>1607</v>
      </c>
      <c r="X41" s="61" t="s">
        <v>1600</v>
      </c>
      <c r="Y41" s="1" t="str">
        <f t="shared" si="0"/>
        <v>1</v>
      </c>
      <c r="Z41" s="61" t="s">
        <v>1613</v>
      </c>
    </row>
    <row r="42" s="1" customFormat="1" ht="15" customHeight="1" spans="1:26">
      <c r="A42" s="59">
        <v>2141120020</v>
      </c>
      <c r="B42" s="61" t="s">
        <v>1701</v>
      </c>
      <c r="C42" s="61" t="s">
        <v>1865</v>
      </c>
      <c r="D42" s="61" t="s">
        <v>1703</v>
      </c>
      <c r="E42" s="61" t="s">
        <v>1588</v>
      </c>
      <c r="F42" s="61" t="s">
        <v>1605</v>
      </c>
      <c r="G42" s="61" t="s">
        <v>1588</v>
      </c>
      <c r="H42" s="61" t="s">
        <v>1606</v>
      </c>
      <c r="I42" s="61" t="s">
        <v>1607</v>
      </c>
      <c r="J42" s="61" t="s">
        <v>1588</v>
      </c>
      <c r="K42" s="61" t="s">
        <v>1866</v>
      </c>
      <c r="L42" s="61" t="s">
        <v>1867</v>
      </c>
      <c r="M42" s="61" t="s">
        <v>1588</v>
      </c>
      <c r="N42" s="61" t="s">
        <v>1588</v>
      </c>
      <c r="O42" s="61" t="s">
        <v>1611</v>
      </c>
      <c r="P42" s="61" t="s">
        <v>1597</v>
      </c>
      <c r="Q42" s="61" t="s">
        <v>1868</v>
      </c>
      <c r="R42" s="61" t="s">
        <v>1597</v>
      </c>
      <c r="S42" s="61" t="s">
        <v>1705</v>
      </c>
      <c r="T42" s="61" t="s">
        <v>1588</v>
      </c>
      <c r="U42" s="61" t="s">
        <v>1588</v>
      </c>
      <c r="V42" s="61" t="s">
        <v>1599</v>
      </c>
      <c r="W42" s="61" t="s">
        <v>1607</v>
      </c>
      <c r="X42" s="61" t="s">
        <v>1600</v>
      </c>
      <c r="Y42" s="1" t="str">
        <f t="shared" si="0"/>
        <v>1</v>
      </c>
      <c r="Z42" s="61" t="s">
        <v>1613</v>
      </c>
    </row>
    <row r="43" s="1" customFormat="1" ht="15" customHeight="1" spans="1:26">
      <c r="A43" s="59">
        <v>2141100030</v>
      </c>
      <c r="B43" s="61" t="s">
        <v>1869</v>
      </c>
      <c r="C43" s="61" t="s">
        <v>1870</v>
      </c>
      <c r="D43" s="61" t="s">
        <v>1871</v>
      </c>
      <c r="E43" s="61" t="s">
        <v>1588</v>
      </c>
      <c r="F43" s="61" t="s">
        <v>1588</v>
      </c>
      <c r="G43" s="61" t="s">
        <v>1588</v>
      </c>
      <c r="H43" s="61" t="s">
        <v>1589</v>
      </c>
      <c r="I43" s="61" t="s">
        <v>1590</v>
      </c>
      <c r="J43" s="61" t="s">
        <v>1588</v>
      </c>
      <c r="K43" s="61" t="s">
        <v>1872</v>
      </c>
      <c r="L43" s="61" t="s">
        <v>1873</v>
      </c>
      <c r="M43" s="61" t="s">
        <v>1588</v>
      </c>
      <c r="N43" s="61" t="s">
        <v>1588</v>
      </c>
      <c r="O43" s="61" t="s">
        <v>1594</v>
      </c>
      <c r="P43" s="61" t="s">
        <v>1597</v>
      </c>
      <c r="Q43" s="61" t="s">
        <v>1874</v>
      </c>
      <c r="R43" s="61" t="s">
        <v>1597</v>
      </c>
      <c r="S43" s="61" t="s">
        <v>1875</v>
      </c>
      <c r="T43" s="61" t="s">
        <v>1588</v>
      </c>
      <c r="U43" s="61" t="s">
        <v>1588</v>
      </c>
      <c r="V43" s="61" t="s">
        <v>1599</v>
      </c>
      <c r="W43" s="61" t="s">
        <v>1590</v>
      </c>
      <c r="X43" s="61" t="s">
        <v>1600</v>
      </c>
      <c r="Y43" s="1" t="str">
        <f t="shared" si="0"/>
        <v>2</v>
      </c>
      <c r="Z43" s="61" t="s">
        <v>1601</v>
      </c>
    </row>
    <row r="44" s="1" customFormat="1" ht="15" customHeight="1" spans="1:26">
      <c r="A44" s="59">
        <v>2141170010</v>
      </c>
      <c r="B44" s="61" t="s">
        <v>1755</v>
      </c>
      <c r="C44" s="61" t="s">
        <v>1876</v>
      </c>
      <c r="D44" s="61" t="s">
        <v>1757</v>
      </c>
      <c r="E44" s="61" t="s">
        <v>1588</v>
      </c>
      <c r="F44" s="61" t="s">
        <v>1588</v>
      </c>
      <c r="G44" s="61" t="s">
        <v>1588</v>
      </c>
      <c r="H44" s="61" t="s">
        <v>1588</v>
      </c>
      <c r="I44" s="61" t="s">
        <v>1607</v>
      </c>
      <c r="J44" s="61" t="s">
        <v>1588</v>
      </c>
      <c r="K44" s="61" t="s">
        <v>1877</v>
      </c>
      <c r="L44" s="61" t="s">
        <v>1878</v>
      </c>
      <c r="M44" s="61" t="s">
        <v>1588</v>
      </c>
      <c r="N44" s="61" t="s">
        <v>1879</v>
      </c>
      <c r="O44" s="61" t="s">
        <v>1611</v>
      </c>
      <c r="P44" s="61" t="s">
        <v>1595</v>
      </c>
      <c r="Q44" s="61" t="s">
        <v>1880</v>
      </c>
      <c r="R44" s="61" t="s">
        <v>1595</v>
      </c>
      <c r="S44" s="61" t="s">
        <v>1880</v>
      </c>
      <c r="T44" s="61" t="s">
        <v>1588</v>
      </c>
      <c r="U44" s="61" t="s">
        <v>1588</v>
      </c>
      <c r="V44" s="61" t="s">
        <v>1599</v>
      </c>
      <c r="W44" s="61" t="s">
        <v>1607</v>
      </c>
      <c r="X44" s="61" t="s">
        <v>1600</v>
      </c>
      <c r="Y44" s="1" t="str">
        <f t="shared" si="0"/>
        <v>1</v>
      </c>
      <c r="Z44" s="61" t="s">
        <v>1613</v>
      </c>
    </row>
    <row r="45" s="1" customFormat="1" ht="15" customHeight="1" spans="1:26">
      <c r="A45" s="59">
        <v>2141170010</v>
      </c>
      <c r="B45" s="61" t="s">
        <v>1755</v>
      </c>
      <c r="C45" s="61" t="s">
        <v>1881</v>
      </c>
      <c r="D45" s="61" t="s">
        <v>1757</v>
      </c>
      <c r="E45" s="61" t="s">
        <v>1588</v>
      </c>
      <c r="F45" s="61" t="s">
        <v>1588</v>
      </c>
      <c r="G45" s="61" t="s">
        <v>1588</v>
      </c>
      <c r="H45" s="61" t="s">
        <v>1588</v>
      </c>
      <c r="I45" s="61" t="s">
        <v>1607</v>
      </c>
      <c r="J45" s="61" t="s">
        <v>1588</v>
      </c>
      <c r="K45" s="61" t="s">
        <v>1882</v>
      </c>
      <c r="L45" s="61" t="s">
        <v>1883</v>
      </c>
      <c r="M45" s="61" t="s">
        <v>1588</v>
      </c>
      <c r="N45" s="61" t="s">
        <v>1884</v>
      </c>
      <c r="O45" s="61" t="s">
        <v>1611</v>
      </c>
      <c r="P45" s="61" t="s">
        <v>1595</v>
      </c>
      <c r="Q45" s="61" t="s">
        <v>1885</v>
      </c>
      <c r="R45" s="61" t="s">
        <v>1595</v>
      </c>
      <c r="S45" s="61" t="s">
        <v>1885</v>
      </c>
      <c r="T45" s="61" t="s">
        <v>1588</v>
      </c>
      <c r="U45" s="61" t="s">
        <v>1588</v>
      </c>
      <c r="V45" s="61" t="s">
        <v>1599</v>
      </c>
      <c r="W45" s="61" t="s">
        <v>1607</v>
      </c>
      <c r="X45" s="61" t="s">
        <v>1600</v>
      </c>
      <c r="Y45" s="1" t="str">
        <f t="shared" si="0"/>
        <v>1</v>
      </c>
      <c r="Z45" s="61" t="s">
        <v>1613</v>
      </c>
    </row>
    <row r="46" s="1" customFormat="1" ht="15" customHeight="1" spans="1:26">
      <c r="A46" s="59">
        <v>2141050030</v>
      </c>
      <c r="B46" s="61" t="s">
        <v>1886</v>
      </c>
      <c r="C46" s="61" t="s">
        <v>1887</v>
      </c>
      <c r="D46" s="61" t="s">
        <v>1888</v>
      </c>
      <c r="E46" s="61" t="s">
        <v>1588</v>
      </c>
      <c r="F46" s="61" t="s">
        <v>1588</v>
      </c>
      <c r="G46" s="61" t="s">
        <v>1588</v>
      </c>
      <c r="H46" s="61" t="s">
        <v>1588</v>
      </c>
      <c r="I46" s="61" t="s">
        <v>1679</v>
      </c>
      <c r="J46" s="61" t="s">
        <v>1588</v>
      </c>
      <c r="K46" s="61" t="s">
        <v>1889</v>
      </c>
      <c r="L46" s="61" t="s">
        <v>1890</v>
      </c>
      <c r="M46" s="61" t="s">
        <v>1588</v>
      </c>
      <c r="N46" s="61" t="s">
        <v>1891</v>
      </c>
      <c r="O46" s="61" t="s">
        <v>1611</v>
      </c>
      <c r="P46" s="61" t="s">
        <v>1595</v>
      </c>
      <c r="Q46" s="61" t="s">
        <v>1892</v>
      </c>
      <c r="R46" s="61" t="s">
        <v>1595</v>
      </c>
      <c r="S46" s="61" t="s">
        <v>1892</v>
      </c>
      <c r="T46" s="61" t="s">
        <v>1588</v>
      </c>
      <c r="U46" s="61" t="s">
        <v>1588</v>
      </c>
      <c r="V46" s="61" t="s">
        <v>1599</v>
      </c>
      <c r="W46" s="61" t="s">
        <v>1679</v>
      </c>
      <c r="X46" s="61" t="s">
        <v>1600</v>
      </c>
      <c r="Y46" s="1" t="str">
        <f t="shared" si="0"/>
        <v>1</v>
      </c>
      <c r="Z46" s="61" t="s">
        <v>1613</v>
      </c>
    </row>
    <row r="47" s="1" customFormat="1" ht="15" customHeight="1" spans="1:26">
      <c r="A47" s="59">
        <v>2141110020</v>
      </c>
      <c r="B47" s="61" t="s">
        <v>1683</v>
      </c>
      <c r="C47" s="61" t="s">
        <v>1893</v>
      </c>
      <c r="D47" s="61" t="s">
        <v>1685</v>
      </c>
      <c r="E47" s="61" t="s">
        <v>1588</v>
      </c>
      <c r="F47" s="61" t="s">
        <v>1588</v>
      </c>
      <c r="G47" s="61" t="s">
        <v>1588</v>
      </c>
      <c r="H47" s="61" t="s">
        <v>1588</v>
      </c>
      <c r="I47" s="61" t="s">
        <v>1607</v>
      </c>
      <c r="J47" s="61" t="s">
        <v>1588</v>
      </c>
      <c r="K47" s="61" t="s">
        <v>1894</v>
      </c>
      <c r="L47" s="61" t="s">
        <v>1895</v>
      </c>
      <c r="M47" s="61" t="s">
        <v>1588</v>
      </c>
      <c r="N47" s="61" t="s">
        <v>1588</v>
      </c>
      <c r="O47" s="61" t="s">
        <v>1611</v>
      </c>
      <c r="P47" s="61" t="s">
        <v>1595</v>
      </c>
      <c r="Q47" s="61" t="s">
        <v>1896</v>
      </c>
      <c r="R47" s="61" t="s">
        <v>1595</v>
      </c>
      <c r="S47" s="61" t="s">
        <v>1896</v>
      </c>
      <c r="T47" s="61" t="s">
        <v>1588</v>
      </c>
      <c r="U47" s="61" t="s">
        <v>1588</v>
      </c>
      <c r="V47" s="61" t="s">
        <v>1599</v>
      </c>
      <c r="W47" s="61" t="s">
        <v>1607</v>
      </c>
      <c r="X47" s="61" t="s">
        <v>1600</v>
      </c>
      <c r="Y47" s="1" t="str">
        <f t="shared" si="0"/>
        <v>1</v>
      </c>
      <c r="Z47" s="61" t="s">
        <v>1613</v>
      </c>
    </row>
    <row r="48" s="1" customFormat="1" ht="15" customHeight="1" spans="1:26">
      <c r="A48" s="59">
        <v>2141030060</v>
      </c>
      <c r="B48" s="61" t="s">
        <v>1690</v>
      </c>
      <c r="C48" s="61" t="s">
        <v>1897</v>
      </c>
      <c r="D48" s="61" t="s">
        <v>1692</v>
      </c>
      <c r="E48" s="61" t="s">
        <v>1588</v>
      </c>
      <c r="F48" s="61" t="s">
        <v>1588</v>
      </c>
      <c r="G48" s="61" t="s">
        <v>1588</v>
      </c>
      <c r="H48" s="61" t="s">
        <v>1588</v>
      </c>
      <c r="I48" s="61" t="s">
        <v>1607</v>
      </c>
      <c r="J48" s="61" t="s">
        <v>1588</v>
      </c>
      <c r="K48" s="61" t="s">
        <v>1898</v>
      </c>
      <c r="L48" s="61" t="s">
        <v>1899</v>
      </c>
      <c r="M48" s="61" t="s">
        <v>1588</v>
      </c>
      <c r="N48" s="61" t="s">
        <v>1588</v>
      </c>
      <c r="O48" s="61" t="s">
        <v>1611</v>
      </c>
      <c r="P48" s="61" t="s">
        <v>1595</v>
      </c>
      <c r="Q48" s="61" t="s">
        <v>1900</v>
      </c>
      <c r="R48" s="61" t="s">
        <v>1595</v>
      </c>
      <c r="S48" s="61" t="s">
        <v>1900</v>
      </c>
      <c r="T48" s="61" t="s">
        <v>1588</v>
      </c>
      <c r="U48" s="61" t="s">
        <v>1588</v>
      </c>
      <c r="V48" s="61" t="s">
        <v>1599</v>
      </c>
      <c r="W48" s="61" t="s">
        <v>1607</v>
      </c>
      <c r="X48" s="61" t="s">
        <v>1600</v>
      </c>
      <c r="Y48" s="1" t="str">
        <f t="shared" si="0"/>
        <v>1</v>
      </c>
      <c r="Z48" s="61" t="s">
        <v>1613</v>
      </c>
    </row>
    <row r="49" s="1" customFormat="1" ht="15" customHeight="1" spans="1:26">
      <c r="A49" s="59">
        <v>2141180010</v>
      </c>
      <c r="B49" s="61" t="s">
        <v>1791</v>
      </c>
      <c r="C49" s="61" t="s">
        <v>1901</v>
      </c>
      <c r="D49" s="61" t="s">
        <v>1793</v>
      </c>
      <c r="E49" s="61" t="s">
        <v>1588</v>
      </c>
      <c r="F49" s="61" t="s">
        <v>1605</v>
      </c>
      <c r="G49" s="61" t="s">
        <v>1588</v>
      </c>
      <c r="H49" s="61" t="s">
        <v>1794</v>
      </c>
      <c r="I49" s="61" t="s">
        <v>1679</v>
      </c>
      <c r="J49" s="61" t="s">
        <v>1588</v>
      </c>
      <c r="K49" s="61" t="s">
        <v>1902</v>
      </c>
      <c r="L49" s="61" t="s">
        <v>1903</v>
      </c>
      <c r="M49" s="61" t="s">
        <v>1588</v>
      </c>
      <c r="N49" s="61" t="s">
        <v>1797</v>
      </c>
      <c r="O49" s="61" t="s">
        <v>1611</v>
      </c>
      <c r="P49" s="61" t="s">
        <v>1798</v>
      </c>
      <c r="Q49" s="61" t="s">
        <v>1904</v>
      </c>
      <c r="R49" s="61" t="s">
        <v>1595</v>
      </c>
      <c r="S49" s="61" t="s">
        <v>1800</v>
      </c>
      <c r="T49" s="61" t="s">
        <v>1588</v>
      </c>
      <c r="U49" s="61" t="s">
        <v>1588</v>
      </c>
      <c r="V49" s="61" t="s">
        <v>1599</v>
      </c>
      <c r="W49" s="61" t="s">
        <v>1679</v>
      </c>
      <c r="X49" s="61" t="s">
        <v>1600</v>
      </c>
      <c r="Y49" s="1" t="str">
        <f t="shared" si="0"/>
        <v>1</v>
      </c>
      <c r="Z49" s="61" t="s">
        <v>1613</v>
      </c>
    </row>
    <row r="50" s="1" customFormat="1" ht="15" customHeight="1" spans="1:26">
      <c r="A50" s="59">
        <v>2141020030</v>
      </c>
      <c r="B50" s="61" t="s">
        <v>1827</v>
      </c>
      <c r="C50" s="61" t="s">
        <v>1905</v>
      </c>
      <c r="D50" s="61" t="s">
        <v>1829</v>
      </c>
      <c r="E50" s="61" t="s">
        <v>1588</v>
      </c>
      <c r="F50" s="61" t="s">
        <v>1588</v>
      </c>
      <c r="G50" s="61" t="s">
        <v>1588</v>
      </c>
      <c r="H50" s="61" t="s">
        <v>1766</v>
      </c>
      <c r="I50" s="61" t="s">
        <v>1767</v>
      </c>
      <c r="J50" s="61" t="s">
        <v>1588</v>
      </c>
      <c r="K50" s="61" t="s">
        <v>1906</v>
      </c>
      <c r="L50" s="61" t="s">
        <v>1907</v>
      </c>
      <c r="M50" s="61" t="s">
        <v>1588</v>
      </c>
      <c r="N50" s="61" t="s">
        <v>1908</v>
      </c>
      <c r="O50" s="61" t="s">
        <v>1611</v>
      </c>
      <c r="P50" s="61" t="s">
        <v>1597</v>
      </c>
      <c r="Q50" s="61" t="s">
        <v>1909</v>
      </c>
      <c r="R50" s="61" t="s">
        <v>1597</v>
      </c>
      <c r="S50" s="61" t="s">
        <v>1910</v>
      </c>
      <c r="T50" s="61" t="s">
        <v>1588</v>
      </c>
      <c r="U50" s="61" t="s">
        <v>1588</v>
      </c>
      <c r="V50" s="61" t="s">
        <v>1599</v>
      </c>
      <c r="W50" s="61" t="s">
        <v>1767</v>
      </c>
      <c r="X50" s="61" t="s">
        <v>1600</v>
      </c>
      <c r="Y50" s="1" t="str">
        <f t="shared" si="0"/>
        <v>1</v>
      </c>
      <c r="Z50" s="61" t="s">
        <v>1613</v>
      </c>
    </row>
    <row r="51" s="1" customFormat="1" ht="15" customHeight="1" spans="1:26">
      <c r="A51" s="59">
        <v>2141220010</v>
      </c>
      <c r="B51" s="61" t="s">
        <v>1911</v>
      </c>
      <c r="C51" s="61" t="s">
        <v>1912</v>
      </c>
      <c r="D51" s="61" t="s">
        <v>1913</v>
      </c>
      <c r="E51" s="61" t="s">
        <v>1588</v>
      </c>
      <c r="F51" s="61" t="s">
        <v>1605</v>
      </c>
      <c r="G51" s="61" t="s">
        <v>1588</v>
      </c>
      <c r="H51" s="61" t="s">
        <v>1589</v>
      </c>
      <c r="I51" s="61" t="s">
        <v>1590</v>
      </c>
      <c r="J51" s="61" t="s">
        <v>1588</v>
      </c>
      <c r="K51" s="61" t="s">
        <v>1914</v>
      </c>
      <c r="L51" s="61" t="s">
        <v>1915</v>
      </c>
      <c r="M51" s="61" t="s">
        <v>1588</v>
      </c>
      <c r="N51" s="61" t="s">
        <v>1916</v>
      </c>
      <c r="O51" s="61" t="s">
        <v>1594</v>
      </c>
      <c r="P51" s="61" t="s">
        <v>1727</v>
      </c>
      <c r="Q51" s="61" t="s">
        <v>1917</v>
      </c>
      <c r="R51" s="61" t="s">
        <v>1918</v>
      </c>
      <c r="S51" s="61" t="s">
        <v>1919</v>
      </c>
      <c r="T51" s="61" t="s">
        <v>1588</v>
      </c>
      <c r="U51" s="61" t="s">
        <v>1588</v>
      </c>
      <c r="V51" s="61" t="s">
        <v>1738</v>
      </c>
      <c r="W51" s="61" t="s">
        <v>1590</v>
      </c>
      <c r="X51" s="61" t="s">
        <v>1600</v>
      </c>
      <c r="Y51" s="1" t="str">
        <f t="shared" si="0"/>
        <v>2</v>
      </c>
      <c r="Z51" s="61" t="s">
        <v>1601</v>
      </c>
    </row>
    <row r="52" s="1" customFormat="1" ht="15" customHeight="1" spans="1:26">
      <c r="A52" s="59">
        <v>2141220030</v>
      </c>
      <c r="B52" s="61" t="s">
        <v>1920</v>
      </c>
      <c r="C52" s="61" t="s">
        <v>1921</v>
      </c>
      <c r="D52" s="61" t="s">
        <v>1922</v>
      </c>
      <c r="E52" s="61" t="s">
        <v>1588</v>
      </c>
      <c r="F52" s="61" t="s">
        <v>1605</v>
      </c>
      <c r="G52" s="61" t="s">
        <v>1588</v>
      </c>
      <c r="H52" s="61" t="s">
        <v>1589</v>
      </c>
      <c r="I52" s="61" t="s">
        <v>1590</v>
      </c>
      <c r="J52" s="61" t="s">
        <v>1588</v>
      </c>
      <c r="K52" s="61" t="s">
        <v>1914</v>
      </c>
      <c r="L52" s="61" t="s">
        <v>1915</v>
      </c>
      <c r="M52" s="61" t="s">
        <v>1588</v>
      </c>
      <c r="N52" s="61" t="s">
        <v>1916</v>
      </c>
      <c r="O52" s="61" t="s">
        <v>1594</v>
      </c>
      <c r="P52" s="61" t="s">
        <v>1727</v>
      </c>
      <c r="Q52" s="61" t="s">
        <v>1923</v>
      </c>
      <c r="R52" s="61" t="s">
        <v>1918</v>
      </c>
      <c r="S52" s="61" t="s">
        <v>1924</v>
      </c>
      <c r="T52" s="61" t="s">
        <v>1588</v>
      </c>
      <c r="U52" s="61" t="s">
        <v>1588</v>
      </c>
      <c r="V52" s="61" t="s">
        <v>1738</v>
      </c>
      <c r="W52" s="61" t="s">
        <v>1590</v>
      </c>
      <c r="X52" s="61" t="s">
        <v>1600</v>
      </c>
      <c r="Y52" s="1" t="str">
        <f t="shared" si="0"/>
        <v>2</v>
      </c>
      <c r="Z52" s="61" t="s">
        <v>1601</v>
      </c>
    </row>
    <row r="53" s="1" customFormat="1" ht="15" customHeight="1" spans="1:26">
      <c r="A53" s="59">
        <v>2141220020</v>
      </c>
      <c r="B53" s="61" t="s">
        <v>1925</v>
      </c>
      <c r="C53" s="61" t="s">
        <v>1926</v>
      </c>
      <c r="D53" s="61" t="s">
        <v>1927</v>
      </c>
      <c r="E53" s="61" t="s">
        <v>1588</v>
      </c>
      <c r="F53" s="61" t="s">
        <v>1605</v>
      </c>
      <c r="G53" s="61" t="s">
        <v>1588</v>
      </c>
      <c r="H53" s="61" t="s">
        <v>1589</v>
      </c>
      <c r="I53" s="61" t="s">
        <v>1590</v>
      </c>
      <c r="J53" s="61" t="s">
        <v>1588</v>
      </c>
      <c r="K53" s="61" t="s">
        <v>1928</v>
      </c>
      <c r="L53" s="61" t="s">
        <v>1915</v>
      </c>
      <c r="M53" s="61" t="s">
        <v>1588</v>
      </c>
      <c r="N53" s="61" t="s">
        <v>1916</v>
      </c>
      <c r="O53" s="61" t="s">
        <v>1594</v>
      </c>
      <c r="P53" s="61" t="s">
        <v>1727</v>
      </c>
      <c r="Q53" s="61" t="s">
        <v>1929</v>
      </c>
      <c r="R53" s="61" t="s">
        <v>1727</v>
      </c>
      <c r="S53" s="61" t="s">
        <v>1930</v>
      </c>
      <c r="T53" s="61" t="s">
        <v>1588</v>
      </c>
      <c r="U53" s="61" t="s">
        <v>1588</v>
      </c>
      <c r="V53" s="61" t="s">
        <v>1738</v>
      </c>
      <c r="W53" s="61" t="s">
        <v>1590</v>
      </c>
      <c r="X53" s="61" t="s">
        <v>1600</v>
      </c>
      <c r="Y53" s="1" t="str">
        <f t="shared" si="0"/>
        <v>2</v>
      </c>
      <c r="Z53" s="61" t="s">
        <v>1601</v>
      </c>
    </row>
    <row r="54" s="1" customFormat="1" ht="15" customHeight="1" spans="1:26">
      <c r="A54" s="59">
        <v>2141040020</v>
      </c>
      <c r="B54" s="61" t="s">
        <v>1931</v>
      </c>
      <c r="C54" s="61" t="s">
        <v>1932</v>
      </c>
      <c r="D54" s="61" t="s">
        <v>1933</v>
      </c>
      <c r="E54" s="61" t="s">
        <v>1588</v>
      </c>
      <c r="F54" s="61" t="s">
        <v>1588</v>
      </c>
      <c r="G54" s="61" t="s">
        <v>1588</v>
      </c>
      <c r="H54" s="61" t="s">
        <v>1606</v>
      </c>
      <c r="I54" s="61" t="s">
        <v>1607</v>
      </c>
      <c r="J54" s="61" t="s">
        <v>1588</v>
      </c>
      <c r="K54" s="61" t="s">
        <v>1934</v>
      </c>
      <c r="L54" s="61" t="s">
        <v>1935</v>
      </c>
      <c r="M54" s="61" t="s">
        <v>1588</v>
      </c>
      <c r="N54" s="61" t="s">
        <v>1936</v>
      </c>
      <c r="O54" s="61" t="s">
        <v>1594</v>
      </c>
      <c r="P54" s="61" t="s">
        <v>1937</v>
      </c>
      <c r="Q54" s="61" t="s">
        <v>1938</v>
      </c>
      <c r="R54" s="61" t="s">
        <v>1597</v>
      </c>
      <c r="S54" s="61" t="s">
        <v>1939</v>
      </c>
      <c r="T54" s="61" t="s">
        <v>1588</v>
      </c>
      <c r="U54" s="61" t="s">
        <v>1588</v>
      </c>
      <c r="V54" s="61" t="s">
        <v>1599</v>
      </c>
      <c r="W54" s="61" t="s">
        <v>1607</v>
      </c>
      <c r="X54" s="61" t="s">
        <v>1600</v>
      </c>
      <c r="Y54" s="1" t="str">
        <f t="shared" si="0"/>
        <v>1</v>
      </c>
      <c r="Z54" s="61" t="s">
        <v>1613</v>
      </c>
    </row>
    <row r="55" s="1" customFormat="1" ht="15" customHeight="1" spans="1:26">
      <c r="A55" s="59">
        <v>2141290010</v>
      </c>
      <c r="B55" s="61" t="s">
        <v>1940</v>
      </c>
      <c r="C55" s="61" t="s">
        <v>1941</v>
      </c>
      <c r="D55" s="61" t="s">
        <v>1942</v>
      </c>
      <c r="E55" s="61" t="s">
        <v>1588</v>
      </c>
      <c r="F55" s="61" t="s">
        <v>1605</v>
      </c>
      <c r="G55" s="61" t="s">
        <v>1588</v>
      </c>
      <c r="H55" s="61" t="s">
        <v>1606</v>
      </c>
      <c r="I55" s="61" t="s">
        <v>1607</v>
      </c>
      <c r="J55" s="61" t="s">
        <v>1588</v>
      </c>
      <c r="K55" s="61" t="s">
        <v>1861</v>
      </c>
      <c r="L55" s="61" t="s">
        <v>1943</v>
      </c>
      <c r="M55" s="61" t="s">
        <v>1588</v>
      </c>
      <c r="N55" s="61" t="s">
        <v>1944</v>
      </c>
      <c r="O55" s="61" t="s">
        <v>1594</v>
      </c>
      <c r="P55" s="61" t="s">
        <v>1937</v>
      </c>
      <c r="Q55" s="61" t="s">
        <v>1945</v>
      </c>
      <c r="R55" s="61" t="s">
        <v>1918</v>
      </c>
      <c r="S55" s="61" t="s">
        <v>1946</v>
      </c>
      <c r="T55" s="61" t="s">
        <v>1588</v>
      </c>
      <c r="U55" s="61" t="s">
        <v>1588</v>
      </c>
      <c r="V55" s="61" t="s">
        <v>1599</v>
      </c>
      <c r="W55" s="61" t="s">
        <v>1607</v>
      </c>
      <c r="X55" s="61" t="s">
        <v>1600</v>
      </c>
      <c r="Y55" s="1" t="str">
        <f t="shared" si="0"/>
        <v>1</v>
      </c>
      <c r="Z55" s="61" t="s">
        <v>1613</v>
      </c>
    </row>
    <row r="56" s="1" customFormat="1" ht="15" customHeight="1" spans="1:26">
      <c r="A56" s="59">
        <v>2141190020</v>
      </c>
      <c r="B56" s="61" t="s">
        <v>1947</v>
      </c>
      <c r="C56" s="61" t="s">
        <v>1948</v>
      </c>
      <c r="D56" s="61" t="s">
        <v>1949</v>
      </c>
      <c r="E56" s="61" t="s">
        <v>1588</v>
      </c>
      <c r="F56" s="61" t="s">
        <v>1605</v>
      </c>
      <c r="G56" s="61" t="s">
        <v>1588</v>
      </c>
      <c r="H56" s="61" t="s">
        <v>1606</v>
      </c>
      <c r="I56" s="61" t="s">
        <v>1607</v>
      </c>
      <c r="J56" s="61" t="s">
        <v>1588</v>
      </c>
      <c r="K56" s="61" t="s">
        <v>1950</v>
      </c>
      <c r="L56" s="61" t="s">
        <v>1951</v>
      </c>
      <c r="M56" s="61" t="s">
        <v>1588</v>
      </c>
      <c r="N56" s="61" t="s">
        <v>1952</v>
      </c>
      <c r="O56" s="61" t="s">
        <v>1594</v>
      </c>
      <c r="P56" s="61" t="s">
        <v>1937</v>
      </c>
      <c r="Q56" s="61" t="s">
        <v>1953</v>
      </c>
      <c r="R56" s="61" t="s">
        <v>1937</v>
      </c>
      <c r="S56" s="61" t="s">
        <v>1954</v>
      </c>
      <c r="T56" s="61" t="s">
        <v>1588</v>
      </c>
      <c r="U56" s="61" t="s">
        <v>1588</v>
      </c>
      <c r="V56" s="61" t="s">
        <v>1599</v>
      </c>
      <c r="W56" s="61" t="s">
        <v>1607</v>
      </c>
      <c r="X56" s="61" t="s">
        <v>1600</v>
      </c>
      <c r="Y56" s="1" t="str">
        <f t="shared" si="0"/>
        <v>1</v>
      </c>
      <c r="Z56" s="61" t="s">
        <v>1613</v>
      </c>
    </row>
    <row r="57" s="1" customFormat="1" ht="15" customHeight="1" spans="1:26">
      <c r="A57" s="59">
        <v>2141190010</v>
      </c>
      <c r="B57" s="61" t="s">
        <v>1955</v>
      </c>
      <c r="C57" s="61" t="s">
        <v>1956</v>
      </c>
      <c r="D57" s="61" t="s">
        <v>1957</v>
      </c>
      <c r="E57" s="61" t="s">
        <v>1588</v>
      </c>
      <c r="F57" s="61" t="s">
        <v>1588</v>
      </c>
      <c r="G57" s="61" t="s">
        <v>1588</v>
      </c>
      <c r="H57" s="61" t="s">
        <v>1606</v>
      </c>
      <c r="I57" s="61" t="s">
        <v>1607</v>
      </c>
      <c r="J57" s="61" t="s">
        <v>1588</v>
      </c>
      <c r="K57" s="61" t="s">
        <v>1958</v>
      </c>
      <c r="L57" s="61" t="s">
        <v>1959</v>
      </c>
      <c r="M57" s="61" t="s">
        <v>1588</v>
      </c>
      <c r="N57" s="61" t="s">
        <v>1960</v>
      </c>
      <c r="O57" s="61" t="s">
        <v>1594</v>
      </c>
      <c r="P57" s="61" t="s">
        <v>1937</v>
      </c>
      <c r="Q57" s="61" t="s">
        <v>1961</v>
      </c>
      <c r="R57" s="61" t="s">
        <v>1597</v>
      </c>
      <c r="S57" s="61" t="s">
        <v>1962</v>
      </c>
      <c r="T57" s="61" t="s">
        <v>1588</v>
      </c>
      <c r="U57" s="61" t="s">
        <v>1588</v>
      </c>
      <c r="V57" s="61" t="s">
        <v>1599</v>
      </c>
      <c r="W57" s="61" t="s">
        <v>1607</v>
      </c>
      <c r="X57" s="61" t="s">
        <v>1600</v>
      </c>
      <c r="Y57" s="1" t="str">
        <f t="shared" si="0"/>
        <v>1</v>
      </c>
      <c r="Z57" s="61" t="s">
        <v>1613</v>
      </c>
    </row>
    <row r="58" s="1" customFormat="1" ht="15" customHeight="1" spans="1:26">
      <c r="A58" s="59">
        <v>2141020190</v>
      </c>
      <c r="B58" s="61" t="s">
        <v>1714</v>
      </c>
      <c r="C58" s="61" t="s">
        <v>1963</v>
      </c>
      <c r="D58" s="61" t="s">
        <v>1716</v>
      </c>
      <c r="E58" s="61" t="s">
        <v>1588</v>
      </c>
      <c r="F58" s="61" t="s">
        <v>1588</v>
      </c>
      <c r="G58" s="61" t="s">
        <v>1588</v>
      </c>
      <c r="H58" s="61" t="s">
        <v>1588</v>
      </c>
      <c r="I58" s="61" t="s">
        <v>1679</v>
      </c>
      <c r="J58" s="61" t="s">
        <v>1588</v>
      </c>
      <c r="K58" s="61" t="s">
        <v>1964</v>
      </c>
      <c r="L58" s="61" t="s">
        <v>1965</v>
      </c>
      <c r="M58" s="61" t="s">
        <v>1588</v>
      </c>
      <c r="N58" s="61" t="s">
        <v>1966</v>
      </c>
      <c r="O58" s="61" t="s">
        <v>1611</v>
      </c>
      <c r="P58" s="61" t="s">
        <v>1597</v>
      </c>
      <c r="Q58" s="61" t="s">
        <v>1967</v>
      </c>
      <c r="R58" s="61" t="s">
        <v>1597</v>
      </c>
      <c r="S58" s="61" t="s">
        <v>1967</v>
      </c>
      <c r="T58" s="61" t="s">
        <v>1588</v>
      </c>
      <c r="U58" s="61" t="s">
        <v>1588</v>
      </c>
      <c r="V58" s="61" t="s">
        <v>1599</v>
      </c>
      <c r="W58" s="61" t="s">
        <v>1679</v>
      </c>
      <c r="X58" s="61" t="s">
        <v>1600</v>
      </c>
      <c r="Y58" s="1" t="str">
        <f t="shared" si="0"/>
        <v>1</v>
      </c>
      <c r="Z58" s="61" t="s">
        <v>1613</v>
      </c>
    </row>
    <row r="59" s="1" customFormat="1" ht="15" customHeight="1" spans="1:26">
      <c r="A59" s="59">
        <v>2141020190</v>
      </c>
      <c r="B59" s="61" t="s">
        <v>1714</v>
      </c>
      <c r="C59" s="61" t="s">
        <v>1968</v>
      </c>
      <c r="D59" s="61" t="s">
        <v>1716</v>
      </c>
      <c r="E59" s="61" t="s">
        <v>1588</v>
      </c>
      <c r="F59" s="61" t="s">
        <v>1588</v>
      </c>
      <c r="G59" s="61" t="s">
        <v>1588</v>
      </c>
      <c r="H59" s="61" t="s">
        <v>1588</v>
      </c>
      <c r="I59" s="61" t="s">
        <v>1679</v>
      </c>
      <c r="J59" s="61" t="s">
        <v>1588</v>
      </c>
      <c r="K59" s="61" t="s">
        <v>1969</v>
      </c>
      <c r="L59" s="61" t="s">
        <v>1965</v>
      </c>
      <c r="M59" s="61" t="s">
        <v>1588</v>
      </c>
      <c r="N59" s="61" t="s">
        <v>1966</v>
      </c>
      <c r="O59" s="61" t="s">
        <v>1611</v>
      </c>
      <c r="P59" s="61" t="s">
        <v>1597</v>
      </c>
      <c r="Q59" s="61" t="s">
        <v>1970</v>
      </c>
      <c r="R59" s="61" t="s">
        <v>1597</v>
      </c>
      <c r="S59" s="61" t="s">
        <v>1970</v>
      </c>
      <c r="T59" s="61" t="s">
        <v>1588</v>
      </c>
      <c r="U59" s="61" t="s">
        <v>1588</v>
      </c>
      <c r="V59" s="61" t="s">
        <v>1599</v>
      </c>
      <c r="W59" s="61" t="s">
        <v>1679</v>
      </c>
      <c r="X59" s="61" t="s">
        <v>1600</v>
      </c>
      <c r="Y59" s="1" t="str">
        <f t="shared" si="0"/>
        <v>1</v>
      </c>
      <c r="Z59" s="61" t="s">
        <v>1613</v>
      </c>
    </row>
  </sheetData>
  <conditionalFormatting sqref="A$1:A$1048576">
    <cfRule type="duplicateValues" dxfId="0" priority="1"/>
  </conditionalFormatting>
  <dataValidations count="1">
    <dataValidation type="list" allowBlank="1" showErrorMessage="1" sqref="Z2:Z59">
      <formula1>"北部,南部"</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E2"/>
    </sheetView>
  </sheetViews>
  <sheetFormatPr defaultColWidth="9.025" defaultRowHeight="13.5" outlineLevelRow="7" outlineLevelCol="4"/>
  <cols>
    <col min="1" max="1" width="26.4083333333333" customWidth="1"/>
    <col min="2" max="2" width="11.6666666666667"/>
    <col min="3" max="3" width="99.8083333333333" customWidth="1"/>
    <col min="4" max="4" width="15.625" customWidth="1"/>
    <col min="5" max="5" width="16.1083333333333" customWidth="1"/>
  </cols>
  <sheetData>
    <row r="1" spans="1:5">
      <c r="A1" t="s">
        <v>1971</v>
      </c>
      <c r="B1" t="s">
        <v>1972</v>
      </c>
      <c r="C1" t="s">
        <v>1973</v>
      </c>
      <c r="D1" t="s">
        <v>1974</v>
      </c>
      <c r="E1" t="s">
        <v>14</v>
      </c>
    </row>
    <row r="2" spans="1:5">
      <c r="A2" t="str">
        <f>'产品订单（暂不含工业物料，待更新物料编码及装运信息）'!K1</f>
        <v>越南黄天发贸易有限公司</v>
      </c>
      <c r="B2">
        <f>'产品订单（暂不含工业物料，待更新物料编码及装运信息）'!P1</f>
        <v>2141020110</v>
      </c>
      <c r="C2" t="str" cm="1">
        <f t="array" ref="C2:C3">_xlfn._xlws.FILTER(客户地址信息汇总!K:K,客户地址信息汇总!A:A=B2,"未找到地址")</f>
        <v>97/12 kinh dương vương p12 q6	</v>
      </c>
      <c r="D2" t="str">
        <f>VLOOKUP(C2,客户地址信息汇总!K:N,2,FALSE())</f>
        <v>090 9853318	</v>
      </c>
      <c r="E2" t="str">
        <f>VLOOKUP(C2,客户地址信息汇总!K:N,4,FALSE())</f>
        <v>duy	</v>
      </c>
    </row>
    <row r="3" spans="3:5">
      <c r="C3" t="str">
        <v>387 Phan Văn Trị,Phường Bình Lợi Trung, Thành phố Hồ Chí Minh	</v>
      </c>
      <c r="D3" t="str">
        <f>VLOOKUP(C3,客户地址信息汇总!K:N,2,FALSE())</f>
        <v>0937778293	</v>
      </c>
      <c r="E3" t="str">
        <f>VLOOKUP(C3,客户地址信息汇总!K:N,4,FALSE())</f>
        <v>Hoàng	</v>
      </c>
    </row>
    <row r="4" spans="4:5">
      <c r="D4" t="e">
        <f>VLOOKUP(C4,客户地址信息汇总!K:N,2,FALSE())</f>
        <v>#N/A</v>
      </c>
      <c r="E4" t="e">
        <f>VLOOKUP(C4,客户地址信息汇总!K:N,4,FALSE())</f>
        <v>#N/A</v>
      </c>
    </row>
    <row r="5" spans="4:5">
      <c r="D5" t="e">
        <f>VLOOKUP(C5,客户地址信息汇总!K:N,2,FALSE())</f>
        <v>#N/A</v>
      </c>
      <c r="E5" t="e">
        <f>VLOOKUP(C5,客户地址信息汇总!K:N,4,FALSE())</f>
        <v>#N/A</v>
      </c>
    </row>
    <row r="6" spans="4:5">
      <c r="D6" t="e">
        <f>VLOOKUP(C6,客户地址信息汇总!K:N,2,FALSE())</f>
        <v>#N/A</v>
      </c>
      <c r="E6" t="e">
        <f>VLOOKUP(C6,客户地址信息汇总!K:N,4,FALSE())</f>
        <v>#N/A</v>
      </c>
    </row>
    <row r="7" spans="4:5">
      <c r="D7" t="e">
        <f>VLOOKUP(C7,客户地址信息汇总!K:N,2,FALSE())</f>
        <v>#N/A</v>
      </c>
      <c r="E7" t="e">
        <f>VLOOKUP(C7,客户地址信息汇总!K:N,4,FALSE())</f>
        <v>#N/A</v>
      </c>
    </row>
    <row r="8" spans="4:5">
      <c r="D8" t="e">
        <f>VLOOKUP(C8,客户地址信息汇总!K:N,2,FALSE())</f>
        <v>#N/A</v>
      </c>
      <c r="E8" t="e">
        <f>VLOOKUP(C8,客户地址信息汇总!K:N,4,FALSE())</f>
        <v>#N/A</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3"/>
  <sheetViews>
    <sheetView tabSelected="1" view="pageBreakPreview" zoomScaleNormal="100" topLeftCell="A111" workbookViewId="0">
      <selection activeCell="B129" sqref="B129:G129"/>
    </sheetView>
  </sheetViews>
  <sheetFormatPr defaultColWidth="9" defaultRowHeight="13.5"/>
  <cols>
    <col min="2" max="2" width="9.23333333333333" style="67" customWidth="1"/>
    <col min="3" max="3" width="42.1583333333333" style="67" customWidth="1"/>
    <col min="4" max="4" width="13.6083333333333" style="67" customWidth="1"/>
    <col min="5" max="5" width="13.55" style="67" customWidth="1"/>
    <col min="6" max="6" width="22.65" style="67" customWidth="1"/>
    <col min="7" max="7" width="28.55" style="67" customWidth="1"/>
    <col min="10" max="10" width="22.15" customWidth="1"/>
    <col min="11" max="11" width="15.2833333333333"/>
    <col min="16" max="16" width="9.89166666666667"/>
    <col min="17" max="17" width="10.8833333333333" customWidth="1"/>
    <col min="18" max="18" width="9.89166666666667"/>
  </cols>
  <sheetData>
    <row r="1" ht="18.75" customHeight="1" spans="2:7">
      <c r="B1" s="9" t="s">
        <v>1975</v>
      </c>
      <c r="C1" s="9"/>
      <c r="D1" s="9"/>
      <c r="E1" s="9"/>
      <c r="F1" s="9"/>
      <c r="G1" s="9"/>
    </row>
    <row r="2" ht="18.75" customHeight="1" spans="2:7">
      <c r="B2" s="9" t="s">
        <v>1976</v>
      </c>
      <c r="C2" s="9"/>
      <c r="D2" s="9"/>
      <c r="E2" s="9"/>
      <c r="F2" s="9"/>
      <c r="G2" s="9"/>
    </row>
    <row r="3" ht="15" spans="2:7">
      <c r="B3" s="11"/>
      <c r="C3" s="11"/>
      <c r="D3" s="11"/>
      <c r="E3" s="11"/>
      <c r="F3" s="11"/>
      <c r="G3" s="11"/>
    </row>
    <row r="4" s="6" customFormat="1" ht="15" spans="6:6">
      <c r="F4" s="6" t="str">
        <f>"编号："&amp;'产品订单（暂不含工业物料，待更新物料编码及装运信息）'!G2</f>
        <v>编号：20261001001</v>
      </c>
    </row>
    <row r="5" s="6" customFormat="1" ht="15" spans="6:17">
      <c r="F5" s="6" t="str">
        <f>"Số: "&amp;'产品订单（暂不含工业物料，待更新物料编码及装运信息）'!G2</f>
        <v>Số: 20261001001</v>
      </c>
      <c r="P5" s="41" t="s">
        <v>1977</v>
      </c>
      <c r="Q5" s="41" t="s">
        <v>1978</v>
      </c>
    </row>
    <row r="6" s="6" customFormat="1" ht="13.85" customHeight="1" spans="6:17">
      <c r="F6" s="6" t="str">
        <f>"日期："&amp;K7</f>
        <v>日期：2026年10月1日</v>
      </c>
      <c r="J6" s="41" t="s">
        <v>1979</v>
      </c>
      <c r="K6" s="40" t="str">
        <f>TEXT('产品订单（暂不含工业物料，待更新物料编码及装运信息）'!G3,""" Ngày ""d"" Tháng ""M"" Năm ""yyyy")</f>
        <v> Ngày 1 Tháng 10 Năm 2026</v>
      </c>
      <c r="P6" t="s">
        <v>1980</v>
      </c>
      <c r="Q6" t="s">
        <v>1980</v>
      </c>
    </row>
    <row r="7" s="6" customFormat="1" ht="13.85" customHeight="1" spans="6:17">
      <c r="F7" s="6" t="str">
        <f>"Ngày: "&amp;K6</f>
        <v>Ngày:  Ngày 1 Tháng 10 Năm 2026</v>
      </c>
      <c r="J7" s="41" t="s">
        <v>1979</v>
      </c>
      <c r="K7" s="6" t="str">
        <f>TEXT('产品订单（暂不含工业物料，待更新物料编码及装运信息）'!G3,"yyyy年m月d日")</f>
        <v>2026年10月1日</v>
      </c>
      <c r="P7"/>
      <c r="Q7"/>
    </row>
    <row r="8" s="6" customFormat="1" ht="13.85" customHeight="1" spans="6:17">
      <c r="F8" s="6" t="str">
        <f>"签约地："&amp;K8</f>
        <v>签约地：胡志明市，越南</v>
      </c>
      <c r="K8" s="6" t="s">
        <v>1981</v>
      </c>
      <c r="P8" s="88">
        <v>46026</v>
      </c>
      <c r="Q8" s="88">
        <v>46023</v>
      </c>
    </row>
    <row r="9" s="6" customFormat="1" ht="13.85" customHeight="1" spans="6:17">
      <c r="F9" s="6" t="str">
        <f>"Nơi ký: "&amp;K9</f>
        <v>Nơi ký: Thành phố Hồ Chí Minh, Việt Nam.</v>
      </c>
      <c r="K9" s="6" t="s">
        <v>1982</v>
      </c>
      <c r="P9" s="88">
        <v>46067</v>
      </c>
      <c r="Q9" s="88">
        <v>46024</v>
      </c>
    </row>
    <row r="10" s="6" customFormat="1" ht="13.85" customHeight="1" spans="16:17">
      <c r="P10" s="88">
        <v>46025</v>
      </c>
      <c r="Q10" s="88">
        <v>46081</v>
      </c>
    </row>
    <row r="11" s="6" customFormat="1" ht="15" spans="2:17">
      <c r="B11" s="68" t="s">
        <v>1983</v>
      </c>
      <c r="C11" s="13"/>
      <c r="D11" s="13"/>
      <c r="E11" s="13"/>
      <c r="J11" s="41" t="s">
        <v>1984</v>
      </c>
      <c r="K11" s="89" t="str">
        <f>TEXT(IF(COUNTIF($Q$8:$Q$18,K7+30)&gt;0,K7+30,WORKDAY(K7+30-1,1,$P$8:$P$70)),"yyyy年m月d日")</f>
        <v>2026年11月2日</v>
      </c>
      <c r="P11" s="88">
        <v>46068</v>
      </c>
      <c r="Q11" s="88">
        <v>46151</v>
      </c>
    </row>
    <row r="12" s="6" customFormat="1" customHeight="1" spans="2:17">
      <c r="B12" s="13" t="s">
        <v>1985</v>
      </c>
      <c r="C12" s="13"/>
      <c r="D12" s="13"/>
      <c r="E12" s="13"/>
      <c r="K12" s="6" t="str">
        <f>TEXT(K11,""" Ngày ""d"" Tháng ""M"" Năm ""yyyy")</f>
        <v> Ngày 2 Tháng 11 Năm 2026</v>
      </c>
      <c r="P12" s="88">
        <v>46069</v>
      </c>
      <c r="Q12" s="88">
        <v>46285</v>
      </c>
    </row>
    <row r="13" s="6" customFormat="1" customHeight="1" spans="2:17">
      <c r="B13" s="12" t="s">
        <v>1986</v>
      </c>
      <c r="P13" s="88">
        <v>46070</v>
      </c>
      <c r="Q13" s="88">
        <v>46305</v>
      </c>
    </row>
    <row r="14" s="6" customFormat="1" ht="14.25" customHeight="1" spans="2:17">
      <c r="B14" s="6" t="s">
        <v>1987</v>
      </c>
      <c r="P14" s="88">
        <v>46071</v>
      </c>
      <c r="Q14" s="88">
        <v>46432</v>
      </c>
    </row>
    <row r="15" s="6" customFormat="1" ht="14.25" customHeight="1" spans="2:17">
      <c r="B15" s="12" t="s">
        <v>1988</v>
      </c>
      <c r="P15" s="88">
        <v>46072</v>
      </c>
      <c r="Q15" s="88">
        <v>46502</v>
      </c>
    </row>
    <row r="16" s="6" customFormat="1" ht="14.25" customHeight="1" spans="2:17">
      <c r="B16" s="6" t="s">
        <v>1989</v>
      </c>
      <c r="P16" s="88">
        <v>46073</v>
      </c>
      <c r="Q16" s="88">
        <v>46515</v>
      </c>
    </row>
    <row r="17" s="6" customFormat="1" ht="15" spans="2:17">
      <c r="B17" s="12" t="s">
        <v>1990</v>
      </c>
      <c r="P17" s="88">
        <v>46074</v>
      </c>
      <c r="Q17" s="88">
        <v>46656</v>
      </c>
    </row>
    <row r="18" s="6" customFormat="1" ht="15" spans="2:17">
      <c r="B18" s="6" t="s">
        <v>1991</v>
      </c>
      <c r="P18" s="88">
        <v>46075</v>
      </c>
      <c r="Q18" s="88">
        <v>46669</v>
      </c>
    </row>
    <row r="19" s="6" customFormat="1" ht="15" spans="2:16">
      <c r="B19" s="12" t="s">
        <v>1992</v>
      </c>
      <c r="P19" s="88">
        <v>46076</v>
      </c>
    </row>
    <row r="20" s="6" customFormat="1" ht="14.25" customHeight="1" spans="2:16">
      <c r="B20" s="6" t="s">
        <v>1993</v>
      </c>
      <c r="P20" s="88">
        <v>46116</v>
      </c>
    </row>
    <row r="21" s="6" customFormat="1" ht="14.25" customHeight="1" spans="2:16">
      <c r="B21" s="12" t="s">
        <v>1994</v>
      </c>
      <c r="P21" s="88">
        <v>46117</v>
      </c>
    </row>
    <row r="22" s="6" customFormat="1" customHeight="1" spans="2:16">
      <c r="B22" s="6" t="s">
        <v>1995</v>
      </c>
      <c r="P22" s="88">
        <v>46118</v>
      </c>
    </row>
    <row r="23" s="6" customFormat="1" customHeight="1" spans="16:16">
      <c r="P23" s="88">
        <v>46143</v>
      </c>
    </row>
    <row r="24" s="6" customFormat="1" customHeight="1" spans="2:16">
      <c r="B24" s="48" t="str">
        <f>"乙方（“买方”）："&amp;'产品订单（暂不含工业物料，待更新物料编码及装运信息）'!K1</f>
        <v>乙方（“买方”）：越南黄天发贸易有限公司</v>
      </c>
      <c r="P24" s="88">
        <v>46144</v>
      </c>
    </row>
    <row r="25" s="6" customFormat="1" customHeight="1" spans="2:16">
      <c r="B25" s="13" t="str">
        <f>"Bên A ("&amp;"Bên Bán"&amp;"): "&amp;'产品订单（暂不含工业物料，待更新物料编码及装运信息）'!K2</f>
        <v>Bên A (Bên Bán): CÔNG TY TNHH THƯƠNG MẠI HOÀNG THIÊN PHÁT</v>
      </c>
      <c r="P25" s="88">
        <v>46145</v>
      </c>
    </row>
    <row r="26" s="6" customFormat="1" customHeight="1" spans="2:16">
      <c r="B26" s="41" t="str">
        <f>"税号："&amp;'产品订单（暂不含工业物料，待更新物料编码及装运信息）'!P2</f>
        <v>税号：0316353410</v>
      </c>
      <c r="P26" s="88">
        <v>46146</v>
      </c>
    </row>
    <row r="27" s="6" customFormat="1" customHeight="1" spans="2:16">
      <c r="B27" s="6" t="str">
        <f>"Mã số thuế: "&amp;'产品订单（暂不含工业物料，待更新物料编码及装运信息）'!P2</f>
        <v>Mã số thuế: 0316353410</v>
      </c>
      <c r="P27" s="88">
        <v>46147</v>
      </c>
    </row>
    <row r="28" s="6" customFormat="1" customHeight="1" spans="2:16">
      <c r="B28" s="41" t="str">
        <f>"地址："&amp;'产品订单（暂不含工业物料，待更新物料编码及装运信息）'!S5</f>
        <v>地址：越南胡志明市平盛郡潘文治路387号</v>
      </c>
      <c r="P28" s="88">
        <v>46192</v>
      </c>
    </row>
    <row r="29" s="6" customFormat="1" customHeight="1" spans="2:16">
      <c r="B29" s="6" t="str">
        <f>"Địa chỉ: "&amp;'产品订单（暂不含工业物料，待更新物料编码及装运信息）'!K3</f>
        <v>Địa chỉ: 387 Phan Văn Trị, Phường Bình Lợi Trung, TP Hồ Chí Minh, Việt Nam.</v>
      </c>
      <c r="P29" s="88">
        <v>46193</v>
      </c>
    </row>
    <row r="30" s="6" customFormat="1" customHeight="1" spans="2:16">
      <c r="B30" s="41" t="str">
        <f>"代表人："&amp;'产品订单（暂不含工业物料，待更新物料编码及装运信息）'!P4</f>
        <v>代表人：陈明黄</v>
      </c>
      <c r="P30" s="88">
        <v>46194</v>
      </c>
    </row>
    <row r="31" s="6" customFormat="1" customHeight="1" spans="2:16">
      <c r="B31" s="6" t="str">
        <f>"Người đại diện: "&amp;'产品订单（暂不含工业物料，待更新物料编码及装运信息）'!P3</f>
        <v>Người đại diện: TRAN MINH HOANG</v>
      </c>
      <c r="P31" s="88">
        <v>46290</v>
      </c>
    </row>
    <row r="32" s="6" customFormat="1" customHeight="1" spans="2:16">
      <c r="B32" s="41" t="str">
        <f>"职务："&amp;'产品订单（暂不含工业物料，待更新物料编码及装运信息）'!P6</f>
        <v>职务：总经理</v>
      </c>
      <c r="P32" s="88">
        <v>46291</v>
      </c>
    </row>
    <row r="33" s="6" customFormat="1" customHeight="1" spans="2:16">
      <c r="B33" s="6" t="str">
        <f>"Chức vụ: "&amp;'产品订单（暂不含工业物料，待更新物料编码及装运信息）'!P5</f>
        <v>Chức vụ: TỔNG GIÁM ĐỐC</v>
      </c>
      <c r="P33" s="88">
        <v>46292</v>
      </c>
    </row>
    <row r="34" s="6" customFormat="1" customHeight="1" spans="2:16">
      <c r="B34" s="41" t="str">
        <f>"电话："&amp;'产品订单（暂不含工业物料，待更新物料编码及装运信息）'!K4</f>
        <v>电话：0939368123</v>
      </c>
      <c r="P34" s="88">
        <v>46296</v>
      </c>
    </row>
    <row r="35" s="6" customFormat="1" customHeight="1" spans="2:16">
      <c r="B35" s="6" t="str">
        <f>"Điện thoại: "&amp;'产品订单（暂不含工业物料，待更新物料编码及装运信息）'!K4</f>
        <v>Điện thoại: 0939368123</v>
      </c>
      <c r="P35" s="88">
        <v>46297</v>
      </c>
    </row>
    <row r="36" s="64" customFormat="1" ht="15" spans="2:20">
      <c r="B36" s="11"/>
      <c r="C36" s="11"/>
      <c r="D36" s="11"/>
      <c r="E36" s="11"/>
      <c r="F36" s="11"/>
      <c r="G36" s="11"/>
      <c r="H36" s="69"/>
      <c r="I36" s="90"/>
      <c r="J36" s="91"/>
      <c r="K36" s="92"/>
      <c r="L36" s="92"/>
      <c r="M36" s="92"/>
      <c r="N36" s="92"/>
      <c r="O36" s="92"/>
      <c r="P36" s="88">
        <v>46298</v>
      </c>
      <c r="Q36" s="92"/>
      <c r="R36" s="92"/>
      <c r="S36" s="92"/>
      <c r="T36" s="92"/>
    </row>
    <row r="37" s="64" customFormat="1" ht="15" spans="2:21">
      <c r="B37" s="11"/>
      <c r="C37" s="11"/>
      <c r="D37" s="11"/>
      <c r="E37" s="11"/>
      <c r="F37" s="11"/>
      <c r="G37" s="11"/>
      <c r="H37" s="70"/>
      <c r="I37" s="90"/>
      <c r="J37" s="90"/>
      <c r="K37" s="92"/>
      <c r="L37" s="92"/>
      <c r="M37" s="92"/>
      <c r="N37" s="92"/>
      <c r="O37" s="92"/>
      <c r="P37" s="88">
        <v>46299</v>
      </c>
      <c r="Q37" s="92"/>
      <c r="R37" s="92"/>
      <c r="S37" s="92"/>
      <c r="T37" s="92"/>
      <c r="U37" s="92"/>
    </row>
    <row r="38" s="64" customFormat="1" ht="15" spans="2:21">
      <c r="B38" s="71" t="s">
        <v>1996</v>
      </c>
      <c r="C38" s="6"/>
      <c r="D38" s="6"/>
      <c r="E38" s="6"/>
      <c r="F38" s="6"/>
      <c r="G38" s="6"/>
      <c r="H38" s="69"/>
      <c r="I38" s="91"/>
      <c r="J38" s="91"/>
      <c r="K38" s="92"/>
      <c r="L38" s="92"/>
      <c r="M38" s="92"/>
      <c r="N38" s="92"/>
      <c r="O38" s="92"/>
      <c r="P38" s="88">
        <v>46300</v>
      </c>
      <c r="Q38" s="92"/>
      <c r="R38" s="92"/>
      <c r="S38" s="92"/>
      <c r="T38" s="92"/>
      <c r="U38" s="92"/>
    </row>
    <row r="39" s="64" customFormat="1" ht="15" spans="2:21">
      <c r="B39" s="72" t="s">
        <v>1997</v>
      </c>
      <c r="C39" s="6"/>
      <c r="D39" s="6"/>
      <c r="E39" s="6"/>
      <c r="F39" s="6"/>
      <c r="G39" s="6"/>
      <c r="H39" s="69"/>
      <c r="I39" s="91"/>
      <c r="J39" s="91"/>
      <c r="K39" s="92"/>
      <c r="L39" s="92"/>
      <c r="M39" s="92"/>
      <c r="N39" s="92"/>
      <c r="O39" s="92"/>
      <c r="P39" s="88">
        <v>46301</v>
      </c>
      <c r="Q39" s="92"/>
      <c r="R39" s="92"/>
      <c r="S39" s="92"/>
      <c r="T39" s="92"/>
      <c r="U39" s="92"/>
    </row>
    <row r="40" s="64" customFormat="1" ht="15.75" spans="2:21">
      <c r="B40" s="14" t="s">
        <v>1998</v>
      </c>
      <c r="C40" s="6"/>
      <c r="D40" s="6"/>
      <c r="E40" s="6"/>
      <c r="F40" s="6"/>
      <c r="G40" s="6"/>
      <c r="H40" s="69"/>
      <c r="I40" s="91"/>
      <c r="J40" s="91"/>
      <c r="K40" s="92"/>
      <c r="L40" s="92"/>
      <c r="M40" s="92"/>
      <c r="N40" s="92"/>
      <c r="O40" s="92"/>
      <c r="P40" s="88">
        <v>46302</v>
      </c>
      <c r="Q40" s="92"/>
      <c r="R40" s="92"/>
      <c r="S40" s="92"/>
      <c r="T40" s="92"/>
      <c r="U40" s="92"/>
    </row>
    <row r="41" s="65" customFormat="1" ht="15" spans="2:21">
      <c r="B41" s="73" t="s">
        <v>0</v>
      </c>
      <c r="C41" s="74" t="s">
        <v>1999</v>
      </c>
      <c r="D41" s="74" t="s">
        <v>2000</v>
      </c>
      <c r="E41" s="74" t="s">
        <v>593</v>
      </c>
      <c r="F41" s="74" t="s">
        <v>2001</v>
      </c>
      <c r="G41" s="75" t="s">
        <v>2002</v>
      </c>
      <c r="H41" s="76"/>
      <c r="I41" s="93"/>
      <c r="J41" s="94" t="s">
        <v>2003</v>
      </c>
      <c r="K41" s="95"/>
      <c r="L41" s="95"/>
      <c r="M41" s="95"/>
      <c r="N41" s="95"/>
      <c r="O41" s="95"/>
      <c r="P41" s="88">
        <v>46388</v>
      </c>
      <c r="Q41" s="95"/>
      <c r="R41" s="95"/>
      <c r="S41" s="95"/>
      <c r="T41" s="95"/>
      <c r="U41" s="95"/>
    </row>
    <row r="42" s="65" customFormat="1" ht="15" spans="1:21">
      <c r="A42" s="77">
        <v>1</v>
      </c>
      <c r="B42" s="78" t="s">
        <v>2004</v>
      </c>
      <c r="C42" s="79" t="s">
        <v>2005</v>
      </c>
      <c r="D42" s="79" t="s">
        <v>2006</v>
      </c>
      <c r="E42" s="79" t="s">
        <v>2007</v>
      </c>
      <c r="F42" s="79" t="s">
        <v>2008</v>
      </c>
      <c r="G42" s="80" t="s">
        <v>2009</v>
      </c>
      <c r="H42" s="76"/>
      <c r="I42" s="93"/>
      <c r="J42" s="94" t="s">
        <v>2010</v>
      </c>
      <c r="K42" s="95"/>
      <c r="L42" s="95"/>
      <c r="M42" s="95"/>
      <c r="N42" s="95"/>
      <c r="O42" s="95"/>
      <c r="P42" s="88">
        <v>46389</v>
      </c>
      <c r="Q42" s="95"/>
      <c r="R42" s="95"/>
      <c r="S42" s="95"/>
      <c r="T42" s="95"/>
      <c r="U42" s="95"/>
    </row>
    <row r="43" s="64" customFormat="1" ht="15" spans="1:21">
      <c r="A43" s="77">
        <v>1</v>
      </c>
      <c r="B43" s="81">
        <f>A42</f>
        <v>1</v>
      </c>
      <c r="C43" s="82" t="str">
        <f>IFERROR(VLOOKUP(A42,'产品订单（暂不含工业物料，待更新物料编码及装运信息）'!$C$10:$H$127,6,0),"")</f>
        <v>HADAY XỐT NẤM HƯƠNG 300G*15</v>
      </c>
      <c r="D43" s="83" t="str">
        <f t="shared" ref="D43:D47" si="0">IF(E43&lt;&gt;"","Thùng","")</f>
        <v>Thùng</v>
      </c>
      <c r="E43" s="84">
        <f>IFERROR(VLOOKUP(J43,'产品订单（暂不含工业物料，待更新物料编码及装运信息）'!$D$10:$N$127,11,FALSE),"")</f>
        <v>18</v>
      </c>
      <c r="F43" s="85">
        <f>IFERROR(VLOOKUP(C43,'产品订单（暂不含工业物料，待更新物料编码及装运信息）'!$H$10:$N$127,4,FALSE),"")</f>
        <v>476800</v>
      </c>
      <c r="G43" s="86">
        <f t="shared" ref="G43:G47" si="1">IFERROR(IF(E43*F43&gt;0,E43*F43,""),"")</f>
        <v>8582400</v>
      </c>
      <c r="H43" s="69"/>
      <c r="I43" s="91"/>
      <c r="J43" s="91" t="str">
        <f>IFERROR(VLOOKUP(A42,'产品订单（暂不含工业物料，待更新物料编码及装运信息）'!$C$10:$D$127,2,0),"")</f>
        <v>89502130001</v>
      </c>
      <c r="K43" s="92"/>
      <c r="M43" s="92"/>
      <c r="N43" s="92"/>
      <c r="O43" s="92"/>
      <c r="P43" s="88">
        <v>46390</v>
      </c>
      <c r="Q43" s="92"/>
      <c r="R43" s="92"/>
      <c r="S43" s="92"/>
      <c r="T43" s="92"/>
      <c r="U43" s="92"/>
    </row>
    <row r="44" s="64" customFormat="1" ht="15" spans="1:21">
      <c r="A44" s="77">
        <v>2</v>
      </c>
      <c r="B44" s="81">
        <f t="shared" ref="B44:B88" si="2">A43</f>
        <v>1</v>
      </c>
      <c r="C44" s="87" t="str">
        <f>IFERROR(VLOOKUP(A42,'产品订单（暂不含工业物料，待更新物料编码及装运信息）'!$C$10:$J$127,8,0),"")</f>
        <v>海天牌香菇酱300g*15</v>
      </c>
      <c r="D44" s="83" t="str">
        <f t="shared" ref="D44:D48" si="3">IF(E43&lt;&gt;"","箱","")</f>
        <v>箱</v>
      </c>
      <c r="E44" s="84"/>
      <c r="F44" s="85"/>
      <c r="G44" s="86"/>
      <c r="H44" s="69"/>
      <c r="I44" s="91"/>
      <c r="J44" s="91" t="str">
        <f>IFERROR(VLOOKUP(A43,'产品订单（暂不含工业物料，待更新物料编码及装运信息）'!$C$10:$D$127,2,0),"")</f>
        <v>89502130001</v>
      </c>
      <c r="K44" s="92"/>
      <c r="M44" s="92"/>
      <c r="N44" s="92"/>
      <c r="O44" s="92"/>
      <c r="P44" s="88">
        <v>46423</v>
      </c>
      <c r="Q44" s="92"/>
      <c r="R44" s="92"/>
      <c r="S44" s="92"/>
      <c r="T44" s="92"/>
      <c r="U44" s="92"/>
    </row>
    <row r="45" s="64" customFormat="1" ht="15" spans="1:21">
      <c r="A45" s="77">
        <v>2</v>
      </c>
      <c r="B45" s="81">
        <f t="shared" si="2"/>
        <v>2</v>
      </c>
      <c r="C45" s="82" t="str">
        <f>IFERROR(VLOOKUP(A44,'产品订单（暂不含工业物料，待更新物料编码及装运信息）'!$C$10:$H$127,6,0),"")</f>
        <v>HADAY DẦU MÈ 250ML*12</v>
      </c>
      <c r="D45" s="83" t="str">
        <f t="shared" si="0"/>
        <v>Thùng</v>
      </c>
      <c r="E45" s="84">
        <f>IFERROR(VLOOKUP(J45,'产品订单（暂不含工业物料，待更新物料编码及装运信息）'!$D$10:$N$127,11,FALSE),"")</f>
        <v>14</v>
      </c>
      <c r="F45" s="85">
        <f>IFERROR(VLOOKUP(C45,'产品订单（暂不含工业物料，待更新物料编码及装运信息）'!$H$10:$N$127,4,FALSE),"")</f>
        <v>546500</v>
      </c>
      <c r="G45" s="86">
        <f t="shared" si="1"/>
        <v>7651000</v>
      </c>
      <c r="H45" s="69"/>
      <c r="I45" s="91"/>
      <c r="J45" s="91" t="str">
        <f>IFERROR(VLOOKUP(A44,'产品订单（暂不含工业物料，待更新物料编码及装运信息）'!$C$10:$D$127,2,0),"")</f>
        <v>89730225001</v>
      </c>
      <c r="K45" s="92"/>
      <c r="L45" s="92"/>
      <c r="M45" s="92"/>
      <c r="N45" s="92"/>
      <c r="O45" s="92"/>
      <c r="P45" s="88">
        <v>46424</v>
      </c>
      <c r="Q45" s="92"/>
      <c r="R45" s="92"/>
      <c r="S45" s="92"/>
      <c r="T45" s="92"/>
      <c r="U45" s="92"/>
    </row>
    <row r="46" s="64" customFormat="1" ht="15" spans="1:21">
      <c r="A46" s="77">
        <v>3</v>
      </c>
      <c r="B46" s="81">
        <f t="shared" si="2"/>
        <v>2</v>
      </c>
      <c r="C46" s="87" t="str">
        <f>IFERROR(VLOOKUP(A44,'产品订单（暂不含工业物料，待更新物料编码及装运信息）'!$C$10:$J$127,8,0),"")</f>
        <v>海天牌芝麻香油250ML*12</v>
      </c>
      <c r="D46" s="83" t="str">
        <f t="shared" si="3"/>
        <v>箱</v>
      </c>
      <c r="E46" s="84"/>
      <c r="F46" s="85"/>
      <c r="G46" s="86"/>
      <c r="H46" s="69"/>
      <c r="I46" s="91"/>
      <c r="J46" s="91" t="str">
        <f>IFERROR(VLOOKUP(A45,'产品订单（暂不含工业物料，待更新物料编码及装运信息）'!$C$10:$D$127,2,0),"")</f>
        <v>89730225001</v>
      </c>
      <c r="K46" s="92"/>
      <c r="L46" s="92"/>
      <c r="M46" s="92"/>
      <c r="N46" s="92"/>
      <c r="O46" s="92"/>
      <c r="P46" s="88">
        <v>46425</v>
      </c>
      <c r="Q46" s="92"/>
      <c r="R46" s="92"/>
      <c r="S46" s="92"/>
      <c r="T46" s="92"/>
      <c r="U46" s="92"/>
    </row>
    <row r="47" s="64" customFormat="1" ht="15" spans="1:21">
      <c r="A47" s="77">
        <v>3</v>
      </c>
      <c r="B47" s="81">
        <f t="shared" si="2"/>
        <v>3</v>
      </c>
      <c r="C47" s="82" t="str">
        <f>IFERROR(VLOOKUP(A46,'产品订单（暂不含工业物料，待更新物料编码及装运信息）'!$C$10:$H$127,6,0),"")</f>
        <v>HADAY GIẤM GẠO 800ML*12</v>
      </c>
      <c r="D47" s="83" t="str">
        <f t="shared" si="0"/>
        <v>Thùng</v>
      </c>
      <c r="E47" s="84">
        <f>IFERROR(VLOOKUP(J47,'产品订单（暂不含工业物料，待更新物料编码及装运信息）'!$D$10:$N$127,11,FALSE),"")</f>
        <v>28</v>
      </c>
      <c r="F47" s="85">
        <f>IFERROR(VLOOKUP(C47,'产品订单（暂不含工业物料，待更新物料编码及装运信息）'!$H$10:$N$127,4,FALSE),"")</f>
        <v>136000</v>
      </c>
      <c r="G47" s="86">
        <f t="shared" si="1"/>
        <v>3808000</v>
      </c>
      <c r="H47" s="69"/>
      <c r="I47" s="91"/>
      <c r="J47" s="91" t="str">
        <f>IFERROR(VLOOKUP(A46,'产品订单（暂不含工业物料，待更新物料编码及装运信息）'!$C$10:$D$127,2,0),"")</f>
        <v>89201580001</v>
      </c>
      <c r="K47" s="92"/>
      <c r="L47" s="92"/>
      <c r="M47" s="92"/>
      <c r="N47" s="92"/>
      <c r="O47" s="92"/>
      <c r="P47" s="88">
        <v>46426</v>
      </c>
      <c r="Q47" s="92"/>
      <c r="R47" s="92"/>
      <c r="S47" s="92"/>
      <c r="T47" s="92"/>
      <c r="U47" s="92"/>
    </row>
    <row r="48" s="64" customFormat="1" ht="15" spans="1:21">
      <c r="A48" s="77">
        <v>4</v>
      </c>
      <c r="B48" s="81">
        <f t="shared" si="2"/>
        <v>3</v>
      </c>
      <c r="C48" s="87" t="str">
        <f>IFERROR(VLOOKUP(A46,'产品订单（暂不含工业物料，待更新物料编码及装运信息）'!$C$10:$J$127,8,0),"")</f>
        <v>海天牌惠系白米醋800ML*12</v>
      </c>
      <c r="D48" s="83" t="str">
        <f t="shared" si="3"/>
        <v>箱</v>
      </c>
      <c r="E48" s="84"/>
      <c r="F48" s="85"/>
      <c r="G48" s="86"/>
      <c r="H48" s="69"/>
      <c r="I48" s="91"/>
      <c r="J48" s="91" t="str">
        <f>IFERROR(VLOOKUP(A47,'产品订单（暂不含工业物料，待更新物料编码及装运信息）'!$C$10:$D$127,2,0),"")</f>
        <v>89201580001</v>
      </c>
      <c r="K48" s="92"/>
      <c r="L48" s="92"/>
      <c r="M48" s="92"/>
      <c r="N48" s="92"/>
      <c r="O48" s="92"/>
      <c r="P48" s="88">
        <v>46427</v>
      </c>
      <c r="Q48" s="92"/>
      <c r="R48" s="92"/>
      <c r="S48" s="92"/>
      <c r="T48" s="92"/>
      <c r="U48" s="92"/>
    </row>
    <row r="49" s="64" customFormat="1" ht="15" spans="1:21">
      <c r="A49" s="77">
        <v>4</v>
      </c>
      <c r="B49" s="81">
        <f t="shared" si="2"/>
        <v>4</v>
      </c>
      <c r="C49" s="82" t="str">
        <f>IFERROR(VLOOKUP(A48,'产品订单（暂不含工业物料，待更新物料编码及装运信息）'!$C$10:$H$127,6,0),"")</f>
        <v>NƯỚC XỐT GIẤM TÁO 1.9L*6</v>
      </c>
      <c r="D49" s="83" t="str">
        <f t="shared" ref="D49:D53" si="4">IF(E49&lt;&gt;"","Thùng","")</f>
        <v>Thùng</v>
      </c>
      <c r="E49" s="84">
        <f>IFERROR(VLOOKUP(J49,'产品订单（暂不含工业物料，待更新物料编码及装运信息）'!$D$10:$N$127,11,FALSE),"")</f>
        <v>22</v>
      </c>
      <c r="F49" s="85">
        <f>IFERROR(VLOOKUP(C49,'产品订单（暂不含工业物料，待更新物料编码及装运信息）'!$H$10:$N$127,4,FALSE),"")</f>
        <v>357800</v>
      </c>
      <c r="G49" s="86">
        <f t="shared" ref="G49:G53" si="5">IFERROR(IF(E49*F49&gt;0,E49*F49,""),"")</f>
        <v>7871600</v>
      </c>
      <c r="H49" s="69"/>
      <c r="I49" s="91"/>
      <c r="J49" s="91" t="str">
        <f>IFERROR(VLOOKUP(A48,'产品订单（暂不含工业物料，待更新物料编码及装运信息）'!$C$10:$D$127,2,0),"")</f>
        <v>89209710903</v>
      </c>
      <c r="K49" s="92"/>
      <c r="L49" s="92"/>
      <c r="M49" s="92"/>
      <c r="N49" s="92"/>
      <c r="O49" s="92"/>
      <c r="P49" s="88">
        <v>46428</v>
      </c>
      <c r="Q49" s="92"/>
      <c r="R49" s="92"/>
      <c r="S49" s="92"/>
      <c r="T49" s="92"/>
      <c r="U49" s="92"/>
    </row>
    <row r="50" s="64" customFormat="1" ht="15" spans="1:21">
      <c r="A50" s="77">
        <v>5</v>
      </c>
      <c r="B50" s="81">
        <f t="shared" si="2"/>
        <v>4</v>
      </c>
      <c r="C50" s="87" t="str">
        <f>IFERROR(VLOOKUP(A48,'产品订单（暂不含工业物料，待更新物料编码及装运信息）'!$C$10:$J$127,8,0),"")</f>
        <v>海天牌苹果醋调味汁1.9L*6</v>
      </c>
      <c r="D50" s="83" t="str">
        <f t="shared" ref="D50:D54" si="6">IF(E49&lt;&gt;"","箱","")</f>
        <v>箱</v>
      </c>
      <c r="E50" s="84"/>
      <c r="F50" s="85"/>
      <c r="G50" s="86"/>
      <c r="H50" s="69"/>
      <c r="I50" s="91"/>
      <c r="J50" s="91" t="str">
        <f>IFERROR(VLOOKUP(A49,'产品订单（暂不含工业物料，待更新物料编码及装运信息）'!$C$10:$D$127,2,0),"")</f>
        <v>89209710903</v>
      </c>
      <c r="K50" s="92"/>
      <c r="L50" s="92"/>
      <c r="M50" s="92"/>
      <c r="N50" s="92"/>
      <c r="O50" s="92"/>
      <c r="P50" s="88">
        <v>46429</v>
      </c>
      <c r="Q50" s="92"/>
      <c r="R50" s="92"/>
      <c r="S50" s="92"/>
      <c r="T50" s="92"/>
      <c r="U50" s="92"/>
    </row>
    <row r="51" s="64" customFormat="1" ht="15" spans="1:21">
      <c r="A51" s="77">
        <v>5</v>
      </c>
      <c r="B51" s="81">
        <f t="shared" si="2"/>
        <v>5</v>
      </c>
      <c r="C51" s="82" t="str">
        <f>IFERROR(VLOOKUP(A50,'产品订单（暂不含工业物料，待更新物料编码及装运信息）'!$C$10:$H$127,6,0),"")</f>
        <v>GIẤM ĐEN (GIẤM LÊN MEN) 1.9L*6</v>
      </c>
      <c r="D51" s="83" t="str">
        <f t="shared" si="4"/>
        <v>Thùng</v>
      </c>
      <c r="E51" s="84">
        <f>IFERROR(VLOOKUP(J51,'产品订单（暂不含工业物料，待更新物料编码及装运信息）'!$D$10:$N$127,11,FALSE),"")</f>
        <v>11</v>
      </c>
      <c r="F51" s="85">
        <f>IFERROR(VLOOKUP(C51,'产品订单（暂不含工业物料，待更新物料编码及装运信息）'!$H$10:$N$127,4,FALSE),"")</f>
        <v>265500</v>
      </c>
      <c r="G51" s="86">
        <f t="shared" si="5"/>
        <v>2920500</v>
      </c>
      <c r="H51" s="69"/>
      <c r="I51" s="91"/>
      <c r="J51" s="91" t="str">
        <f>IFERROR(VLOOKUP(A50,'产品订单（暂不含工业物料，待更新物料编码及装运信息）'!$C$10:$D$127,2,0),"")</f>
        <v>89200710901</v>
      </c>
      <c r="K51" s="92"/>
      <c r="L51" s="92"/>
      <c r="M51" s="92"/>
      <c r="N51" s="92"/>
      <c r="O51" s="92"/>
      <c r="P51" s="88">
        <v>46430</v>
      </c>
      <c r="Q51" s="92"/>
      <c r="R51" s="92"/>
      <c r="S51" s="92"/>
      <c r="T51" s="92"/>
      <c r="U51" s="92"/>
    </row>
    <row r="52" s="64" customFormat="1" ht="15" spans="1:21">
      <c r="A52" s="77">
        <v>6</v>
      </c>
      <c r="B52" s="81">
        <f t="shared" si="2"/>
        <v>5</v>
      </c>
      <c r="C52" s="87" t="str">
        <f>IFERROR(VLOOKUP(A50,'产品订单（暂不含工业物料，待更新物料编码及装运信息）'!$C$10:$J$127,8,0),"")</f>
        <v>海天牌陈醋1.9L*6</v>
      </c>
      <c r="D52" s="83" t="str">
        <f t="shared" si="6"/>
        <v>箱</v>
      </c>
      <c r="E52" s="84"/>
      <c r="F52" s="85"/>
      <c r="G52" s="86"/>
      <c r="H52" s="69"/>
      <c r="I52" s="91"/>
      <c r="J52" s="91" t="str">
        <f>IFERROR(VLOOKUP(A51,'产品订单（暂不含工业物料，待更新物料编码及装运信息）'!$C$10:$D$127,2,0),"")</f>
        <v>89200710901</v>
      </c>
      <c r="K52" s="92"/>
      <c r="L52" s="92"/>
      <c r="M52" s="92"/>
      <c r="N52" s="92"/>
      <c r="O52" s="92"/>
      <c r="P52" s="88">
        <v>46431</v>
      </c>
      <c r="Q52" s="92"/>
      <c r="R52" s="92"/>
      <c r="S52" s="92"/>
      <c r="T52" s="92"/>
      <c r="U52" s="92"/>
    </row>
    <row r="53" s="64" customFormat="1" ht="15" spans="1:21">
      <c r="A53" s="77">
        <v>6</v>
      </c>
      <c r="B53" s="81">
        <f t="shared" si="2"/>
        <v>6</v>
      </c>
      <c r="C53" s="82" t="str">
        <f>IFERROR(VLOOKUP(A52,'产品订单（暂不含工业物料，待更新物料编码及装运信息）'!$C$10:$H$127,6,0),"")</f>
        <v/>
      </c>
      <c r="D53" s="83" t="str">
        <f t="shared" si="4"/>
        <v/>
      </c>
      <c r="E53" s="84" t="str">
        <f>IFERROR(VLOOKUP(J53,'产品订单（暂不含工业物料，待更新物料编码及装运信息）'!$D$10:$N$127,11,FALSE),"")</f>
        <v/>
      </c>
      <c r="F53" s="85" t="str">
        <f>IFERROR(VLOOKUP(C53,'产品订单（暂不含工业物料，待更新物料编码及装运信息）'!$H$10:$N$127,4,FALSE),"")</f>
        <v/>
      </c>
      <c r="G53" s="86" t="str">
        <f t="shared" si="5"/>
        <v/>
      </c>
      <c r="H53" s="69"/>
      <c r="I53" s="91"/>
      <c r="J53" s="91" t="str">
        <f>IFERROR(VLOOKUP(A52,'产品订单（暂不含工业物料，待更新物料编码及装运信息）'!$C$10:$D$127,2,0),"")</f>
        <v/>
      </c>
      <c r="K53" s="92"/>
      <c r="L53" s="92"/>
      <c r="M53" s="92"/>
      <c r="N53" s="92"/>
      <c r="O53" s="92"/>
      <c r="P53" s="88">
        <v>46480</v>
      </c>
      <c r="Q53" s="92"/>
      <c r="R53" s="92"/>
      <c r="S53" s="92"/>
      <c r="T53" s="92"/>
      <c r="U53" s="92"/>
    </row>
    <row r="54" s="64" customFormat="1" ht="15" spans="1:21">
      <c r="A54" s="77">
        <v>7</v>
      </c>
      <c r="B54" s="81">
        <f t="shared" si="2"/>
        <v>6</v>
      </c>
      <c r="C54" s="87" t="str">
        <f>IFERROR(VLOOKUP(A52,'产品订单（暂不含工业物料，待更新物料编码及装运信息）'!$C$10:$J$127,8,0),"")</f>
        <v/>
      </c>
      <c r="D54" s="83" t="str">
        <f t="shared" si="6"/>
        <v/>
      </c>
      <c r="E54" s="84"/>
      <c r="F54" s="85"/>
      <c r="G54" s="86"/>
      <c r="H54" s="69"/>
      <c r="I54" s="91"/>
      <c r="J54" s="91" t="str">
        <f>IFERROR(VLOOKUP(A53,'产品订单（暂不含工业物料，待更新物料编码及装运信息）'!$C$10:$D$127,2,0),"")</f>
        <v/>
      </c>
      <c r="K54" s="92"/>
      <c r="L54" s="92"/>
      <c r="M54" s="92"/>
      <c r="N54" s="92"/>
      <c r="O54" s="92"/>
      <c r="P54" s="88">
        <v>46481</v>
      </c>
      <c r="Q54" s="92"/>
      <c r="R54" s="92"/>
      <c r="S54" s="92"/>
      <c r="T54" s="92"/>
      <c r="U54" s="92"/>
    </row>
    <row r="55" s="64" customFormat="1" ht="15" spans="1:21">
      <c r="A55" s="77">
        <v>7</v>
      </c>
      <c r="B55" s="81">
        <f t="shared" si="2"/>
        <v>7</v>
      </c>
      <c r="C55" s="82" t="str">
        <f>IFERROR(VLOOKUP(A54,'产品订单（暂不含工业物料，待更新物料编码及装运信息）'!$C$10:$H$127,6,0),"")</f>
        <v/>
      </c>
      <c r="D55" s="83" t="str">
        <f t="shared" ref="D55:D59" si="7">IF(E55&lt;&gt;"","Thùng","")</f>
        <v/>
      </c>
      <c r="E55" s="84" t="str">
        <f>IFERROR(VLOOKUP(J55,'产品订单（暂不含工业物料，待更新物料编码及装运信息）'!$D$10:$N$127,11,FALSE),"")</f>
        <v/>
      </c>
      <c r="F55" s="85" t="str">
        <f>IFERROR(VLOOKUP(C55,'产品订单（暂不含工业物料，待更新物料编码及装运信息）'!$H$10:$N$127,4,FALSE),"")</f>
        <v/>
      </c>
      <c r="G55" s="86" t="str">
        <f t="shared" ref="G55:G59" si="8">IFERROR(IF(E55*F55&gt;0,E55*F55,""),"")</f>
        <v/>
      </c>
      <c r="H55" s="69"/>
      <c r="I55" s="91"/>
      <c r="J55" s="91" t="str">
        <f>IFERROR(VLOOKUP(A54,'产品订单（暂不含工业物料，待更新物料编码及装运信息）'!$C$10:$D$127,2,0),"")</f>
        <v/>
      </c>
      <c r="K55" s="92"/>
      <c r="L55" s="92"/>
      <c r="M55" s="92"/>
      <c r="N55" s="92"/>
      <c r="O55" s="92"/>
      <c r="P55" s="88">
        <v>46482</v>
      </c>
      <c r="Q55" s="92"/>
      <c r="R55" s="92"/>
      <c r="S55" s="92"/>
      <c r="T55" s="92"/>
      <c r="U55" s="92"/>
    </row>
    <row r="56" s="64" customFormat="1" ht="15" spans="1:21">
      <c r="A56" s="77">
        <v>8</v>
      </c>
      <c r="B56" s="81">
        <f t="shared" si="2"/>
        <v>7</v>
      </c>
      <c r="C56" s="87" t="str">
        <f>IFERROR(VLOOKUP(A54,'产品订单（暂不含工业物料，待更新物料编码及装运信息）'!$C$10:$J$127,8,0),"")</f>
        <v/>
      </c>
      <c r="D56" s="83" t="str">
        <f t="shared" ref="D56:D60" si="9">IF(E55&lt;&gt;"","箱","")</f>
        <v/>
      </c>
      <c r="E56" s="84"/>
      <c r="F56" s="85"/>
      <c r="G56" s="86"/>
      <c r="H56" s="69"/>
      <c r="I56" s="91"/>
      <c r="J56" s="91" t="str">
        <f>IFERROR(VLOOKUP(A55,'产品订单（暂不含工业物料，待更新物料编码及装运信息）'!$C$10:$D$127,2,0),"")</f>
        <v/>
      </c>
      <c r="K56" s="92"/>
      <c r="L56" s="92"/>
      <c r="M56" s="92"/>
      <c r="N56" s="92"/>
      <c r="O56" s="92"/>
      <c r="P56" s="88">
        <v>46508</v>
      </c>
      <c r="Q56" s="92"/>
      <c r="R56" s="92"/>
      <c r="S56" s="92"/>
      <c r="T56" s="92"/>
      <c r="U56" s="92"/>
    </row>
    <row r="57" s="64" customFormat="1" ht="15" spans="1:21">
      <c r="A57" s="77">
        <v>8</v>
      </c>
      <c r="B57" s="81">
        <f t="shared" si="2"/>
        <v>8</v>
      </c>
      <c r="C57" s="82" t="str">
        <f>IFERROR(VLOOKUP(A56,'产品订单（暂不含工业物料，待更新物料编码及装运信息）'!$C$10:$H$127,6,0),"")</f>
        <v/>
      </c>
      <c r="D57" s="83" t="str">
        <f t="shared" si="7"/>
        <v/>
      </c>
      <c r="E57" s="84" t="str">
        <f>IFERROR(VLOOKUP(J57,'产品订单（暂不含工业物料，待更新物料编码及装运信息）'!$D$10:$N$127,11,FALSE),"")</f>
        <v/>
      </c>
      <c r="F57" s="85" t="str">
        <f>IFERROR(VLOOKUP(C57,'产品订单（暂不含工业物料，待更新物料编码及装运信息）'!$H$10:$N$127,4,FALSE),"")</f>
        <v/>
      </c>
      <c r="G57" s="86" t="str">
        <f t="shared" si="8"/>
        <v/>
      </c>
      <c r="H57" s="69"/>
      <c r="I57" s="91"/>
      <c r="J57" s="91" t="str">
        <f>IFERROR(VLOOKUP(A56,'产品订单（暂不含工业物料，待更新物料编码及装运信息）'!$C$10:$D$127,2,0),"")</f>
        <v/>
      </c>
      <c r="K57" s="92"/>
      <c r="L57" s="92"/>
      <c r="M57" s="92"/>
      <c r="N57" s="92"/>
      <c r="O57" s="92"/>
      <c r="P57" s="88">
        <v>46509</v>
      </c>
      <c r="Q57" s="92"/>
      <c r="R57" s="92"/>
      <c r="S57" s="92"/>
      <c r="T57" s="92"/>
      <c r="U57" s="92"/>
    </row>
    <row r="58" s="64" customFormat="1" ht="15" spans="1:21">
      <c r="A58" s="77">
        <v>9</v>
      </c>
      <c r="B58" s="81">
        <f t="shared" si="2"/>
        <v>8</v>
      </c>
      <c r="C58" s="87" t="str">
        <f>IFERROR(VLOOKUP(A56,'产品订单（暂不含工业物料，待更新物料编码及装运信息）'!$C$10:$J$127,8,0),"")</f>
        <v/>
      </c>
      <c r="D58" s="83" t="str">
        <f t="shared" si="9"/>
        <v/>
      </c>
      <c r="E58" s="84"/>
      <c r="F58" s="85"/>
      <c r="G58" s="86"/>
      <c r="H58" s="69"/>
      <c r="I58" s="91"/>
      <c r="J58" s="91" t="str">
        <f>IFERROR(VLOOKUP(A57,'产品订单（暂不含工业物料，待更新物料编码及装运信息）'!$C$10:$D$127,2,0),"")</f>
        <v/>
      </c>
      <c r="K58" s="92"/>
      <c r="L58" s="92"/>
      <c r="M58" s="92"/>
      <c r="N58" s="92"/>
      <c r="O58" s="92"/>
      <c r="P58" s="88">
        <v>46510</v>
      </c>
      <c r="Q58" s="92"/>
      <c r="R58" s="92"/>
      <c r="S58" s="92"/>
      <c r="T58" s="92"/>
      <c r="U58" s="92"/>
    </row>
    <row r="59" s="64" customFormat="1" ht="15" spans="1:21">
      <c r="A59" s="77">
        <v>9</v>
      </c>
      <c r="B59" s="81">
        <f t="shared" si="2"/>
        <v>9</v>
      </c>
      <c r="C59" s="82" t="str">
        <f>IFERROR(VLOOKUP(A58,'产品订单（暂不含工业物料，待更新物料编码及装运信息）'!$C$10:$H$127,6,0),"")</f>
        <v/>
      </c>
      <c r="D59" s="83" t="str">
        <f t="shared" si="7"/>
        <v/>
      </c>
      <c r="E59" s="84" t="str">
        <f>IFERROR(VLOOKUP(J59,'产品订单（暂不含工业物料，待更新物料编码及装运信息）'!$D$10:$N$127,11,FALSE),"")</f>
        <v/>
      </c>
      <c r="F59" s="85" t="str">
        <f>IFERROR(VLOOKUP(C59,'产品订单（暂不含工业物料，待更新物料编码及装运信息）'!$H$10:$N$127,4,FALSE),"")</f>
        <v/>
      </c>
      <c r="G59" s="86" t="str">
        <f t="shared" si="8"/>
        <v/>
      </c>
      <c r="H59" s="69"/>
      <c r="I59" s="91"/>
      <c r="J59" s="91" t="str">
        <f>IFERROR(VLOOKUP(A58,'产品订单（暂不含工业物料，待更新物料编码及装运信息）'!$C$10:$D$127,2,0),"")</f>
        <v/>
      </c>
      <c r="K59" s="92"/>
      <c r="L59" s="92"/>
      <c r="M59" s="92"/>
      <c r="N59" s="92"/>
      <c r="O59" s="92"/>
      <c r="P59" s="88">
        <v>46511</v>
      </c>
      <c r="Q59" s="92"/>
      <c r="R59" s="92"/>
      <c r="S59" s="92"/>
      <c r="T59" s="92"/>
      <c r="U59" s="92"/>
    </row>
    <row r="60" s="64" customFormat="1" ht="15" spans="1:21">
      <c r="A60" s="77">
        <v>10</v>
      </c>
      <c r="B60" s="81">
        <f t="shared" si="2"/>
        <v>9</v>
      </c>
      <c r="C60" s="87" t="str">
        <f>IFERROR(VLOOKUP(A58,'产品订单（暂不含工业物料，待更新物料编码及装运信息）'!$C$10:$J$127,8,0),"")</f>
        <v/>
      </c>
      <c r="D60" s="83" t="str">
        <f t="shared" si="9"/>
        <v/>
      </c>
      <c r="E60" s="84"/>
      <c r="F60" s="85"/>
      <c r="G60" s="86"/>
      <c r="H60" s="69"/>
      <c r="I60" s="91"/>
      <c r="J60" s="91" t="str">
        <f>IFERROR(VLOOKUP(A59,'产品订单（暂不含工业物料，待更新物料编码及装运信息）'!$C$10:$D$127,2,0),"")</f>
        <v/>
      </c>
      <c r="K60" s="92"/>
      <c r="L60" s="92"/>
      <c r="M60" s="92"/>
      <c r="N60" s="92"/>
      <c r="O60" s="92"/>
      <c r="P60" s="88">
        <v>46512</v>
      </c>
      <c r="Q60" s="92"/>
      <c r="R60" s="92"/>
      <c r="S60" s="92"/>
      <c r="T60" s="92"/>
      <c r="U60" s="92"/>
    </row>
    <row r="61" s="64" customFormat="1" ht="15" spans="1:21">
      <c r="A61" s="77">
        <v>10</v>
      </c>
      <c r="B61" s="81">
        <f t="shared" si="2"/>
        <v>10</v>
      </c>
      <c r="C61" s="82" t="str">
        <f>IFERROR(VLOOKUP(A60,'产品订单（暂不含工业物料，待更新物料编码及装运信息）'!$C$10:$H$127,6,0),"")</f>
        <v/>
      </c>
      <c r="D61" s="83" t="str">
        <f t="shared" ref="D61:D65" si="10">IF(E61&lt;&gt;"","Thùng","")</f>
        <v/>
      </c>
      <c r="E61" s="84" t="str">
        <f>IFERROR(VLOOKUP(J61,'产品订单（暂不含工业物料，待更新物料编码及装运信息）'!$D$10:$N$127,11,FALSE),"")</f>
        <v/>
      </c>
      <c r="F61" s="85" t="str">
        <f>IFERROR(VLOOKUP(C61,'产品订单（暂不含工业物料，待更新物料编码及装运信息）'!$H$10:$N$127,4,FALSE),"")</f>
        <v/>
      </c>
      <c r="G61" s="86" t="str">
        <f t="shared" ref="G61:G65" si="11">IFERROR(IF(E61*F61&gt;0,E61*F61,""),"")</f>
        <v/>
      </c>
      <c r="H61" s="69"/>
      <c r="I61" s="91"/>
      <c r="J61" s="91" t="str">
        <f>IFERROR(VLOOKUP(A60,'产品订单（暂不含工业物料，待更新物料编码及装运信息）'!$C$10:$D$127,2,0),"")</f>
        <v/>
      </c>
      <c r="K61" s="92"/>
      <c r="L61" s="92"/>
      <c r="M61" s="92"/>
      <c r="N61" s="92"/>
      <c r="O61" s="92"/>
      <c r="P61" s="88">
        <v>46547</v>
      </c>
      <c r="Q61" s="92"/>
      <c r="R61" s="92"/>
      <c r="S61" s="92"/>
      <c r="T61" s="92"/>
      <c r="U61" s="92"/>
    </row>
    <row r="62" s="64" customFormat="1" ht="15" spans="1:21">
      <c r="A62" s="77">
        <v>11</v>
      </c>
      <c r="B62" s="81">
        <f t="shared" si="2"/>
        <v>10</v>
      </c>
      <c r="C62" s="87" t="str">
        <f>IFERROR(VLOOKUP(A60,'产品订单（暂不含工业物料，待更新物料编码及装运信息）'!$C$10:$J$127,8,0),"")</f>
        <v/>
      </c>
      <c r="D62" s="83" t="str">
        <f t="shared" ref="D62:D66" si="12">IF(E61&lt;&gt;"","箱","")</f>
        <v/>
      </c>
      <c r="E62" s="84"/>
      <c r="F62" s="85"/>
      <c r="G62" s="86"/>
      <c r="H62" s="69"/>
      <c r="I62" s="91"/>
      <c r="J62" s="91" t="str">
        <f>IFERROR(VLOOKUP(A61,'产品订单（暂不含工业物料，待更新物料编码及装运信息）'!$C$10:$D$127,2,0),"")</f>
        <v/>
      </c>
      <c r="K62" s="92"/>
      <c r="L62" s="92"/>
      <c r="M62" s="92"/>
      <c r="N62" s="92"/>
      <c r="O62" s="92"/>
      <c r="P62" s="88">
        <v>46645</v>
      </c>
      <c r="Q62" s="92"/>
      <c r="R62" s="92"/>
      <c r="S62" s="92"/>
      <c r="T62" s="92"/>
      <c r="U62" s="92"/>
    </row>
    <row r="63" s="64" customFormat="1" ht="15" spans="1:21">
      <c r="A63" s="77">
        <v>11</v>
      </c>
      <c r="B63" s="81">
        <f t="shared" si="2"/>
        <v>11</v>
      </c>
      <c r="C63" s="82" t="str">
        <f>IFERROR(VLOOKUP(A62,'产品订单（暂不含工业物料，待更新物料编码及装运信息）'!$C$10:$H$127,6,0),"")</f>
        <v/>
      </c>
      <c r="D63" s="83" t="str">
        <f t="shared" si="10"/>
        <v/>
      </c>
      <c r="E63" s="84" t="str">
        <f>IFERROR(VLOOKUP(J63,'产品订单（暂不含工业物料，待更新物料编码及装运信息）'!$D$10:$N$127,11,FALSE),"")</f>
        <v/>
      </c>
      <c r="F63" s="85" t="str">
        <f>IFERROR(VLOOKUP(C63,'产品订单（暂不含工业物料，待更新物料编码及装运信息）'!$H$10:$N$127,4,FALSE),"")</f>
        <v/>
      </c>
      <c r="G63" s="86" t="str">
        <f t="shared" si="11"/>
        <v/>
      </c>
      <c r="H63" s="69"/>
      <c r="I63" s="91"/>
      <c r="J63" s="91" t="str">
        <f>IFERROR(VLOOKUP(A62,'产品订单（暂不含工业物料，待更新物料编码及装运信息）'!$C$10:$D$127,2,0),"")</f>
        <v/>
      </c>
      <c r="K63" s="92"/>
      <c r="L63" s="92"/>
      <c r="M63" s="92"/>
      <c r="N63" s="92"/>
      <c r="O63" s="92"/>
      <c r="P63" s="88">
        <v>46661</v>
      </c>
      <c r="Q63" s="92"/>
      <c r="R63" s="92"/>
      <c r="S63" s="92"/>
      <c r="T63" s="92"/>
      <c r="U63" s="92"/>
    </row>
    <row r="64" s="64" customFormat="1" ht="15" spans="1:21">
      <c r="A64" s="77">
        <v>12</v>
      </c>
      <c r="B64" s="81">
        <f t="shared" si="2"/>
        <v>11</v>
      </c>
      <c r="C64" s="87" t="str">
        <f>IFERROR(VLOOKUP(A62,'产品订单（暂不含工业物料，待更新物料编码及装运信息）'!$C$10:$J$127,8,0),"")</f>
        <v/>
      </c>
      <c r="D64" s="83" t="str">
        <f t="shared" si="12"/>
        <v/>
      </c>
      <c r="E64" s="84"/>
      <c r="F64" s="85"/>
      <c r="G64" s="86"/>
      <c r="H64" s="69"/>
      <c r="I64" s="91"/>
      <c r="J64" s="91" t="str">
        <f>IFERROR(VLOOKUP(A63,'产品订单（暂不含工业物料，待更新物料编码及装运信息）'!$C$10:$D$127,2,0),"")</f>
        <v/>
      </c>
      <c r="K64" s="92"/>
      <c r="L64" s="92"/>
      <c r="M64" s="92"/>
      <c r="N64" s="92"/>
      <c r="O64" s="92"/>
      <c r="P64" s="88">
        <v>46662</v>
      </c>
      <c r="Q64" s="92"/>
      <c r="R64" s="92"/>
      <c r="S64" s="92"/>
      <c r="T64" s="92"/>
      <c r="U64" s="92"/>
    </row>
    <row r="65" s="64" customFormat="1" ht="15" spans="1:21">
      <c r="A65" s="77">
        <v>12</v>
      </c>
      <c r="B65" s="81">
        <f t="shared" si="2"/>
        <v>12</v>
      </c>
      <c r="C65" s="82" t="str">
        <f>IFERROR(VLOOKUP(A64,'产品订单（暂不含工业物料，待更新物料编码及装运信息）'!$C$10:$H$127,6,0),"")</f>
        <v/>
      </c>
      <c r="D65" s="83" t="str">
        <f t="shared" si="10"/>
        <v/>
      </c>
      <c r="E65" s="84" t="str">
        <f>IFERROR(VLOOKUP(J65,'产品订单（暂不含工业物料，待更新物料编码及装运信息）'!$D$10:$N$127,11,FALSE),"")</f>
        <v/>
      </c>
      <c r="F65" s="85" t="str">
        <f>IFERROR(VLOOKUP(C65,'产品订单（暂不含工业物料，待更新物料编码及装运信息）'!$H$10:$N$127,4,FALSE),"")</f>
        <v/>
      </c>
      <c r="G65" s="86" t="str">
        <f t="shared" si="11"/>
        <v/>
      </c>
      <c r="H65" s="69"/>
      <c r="I65" s="91"/>
      <c r="J65" s="91" t="str">
        <f>IFERROR(VLOOKUP(A64,'产品订单（暂不含工业物料，待更新物料编码及装运信息）'!$C$10:$D$127,2,0),"")</f>
        <v/>
      </c>
      <c r="K65" s="92"/>
      <c r="L65" s="92"/>
      <c r="M65" s="92"/>
      <c r="N65" s="92"/>
      <c r="O65" s="92"/>
      <c r="P65" s="88">
        <v>46663</v>
      </c>
      <c r="Q65" s="92"/>
      <c r="R65" s="92"/>
      <c r="S65" s="92"/>
      <c r="T65" s="92"/>
      <c r="U65" s="92"/>
    </row>
    <row r="66" s="64" customFormat="1" ht="15" spans="1:21">
      <c r="A66" s="77">
        <v>13</v>
      </c>
      <c r="B66" s="81">
        <f t="shared" si="2"/>
        <v>12</v>
      </c>
      <c r="C66" s="87" t="str">
        <f>IFERROR(VLOOKUP(A64,'产品订单（暂不含工业物料，待更新物料编码及装运信息）'!$C$10:$J$127,8,0),"")</f>
        <v/>
      </c>
      <c r="D66" s="83" t="str">
        <f t="shared" si="12"/>
        <v/>
      </c>
      <c r="E66" s="84"/>
      <c r="F66" s="85"/>
      <c r="G66" s="86"/>
      <c r="H66" s="69"/>
      <c r="I66" s="91"/>
      <c r="J66" s="91" t="str">
        <f>IFERROR(VLOOKUP(A65,'产品订单（暂不含工业物料，待更新物料编码及装运信息）'!$C$10:$D$127,2,0),"")</f>
        <v/>
      </c>
      <c r="K66" s="92"/>
      <c r="L66" s="92"/>
      <c r="M66" s="92"/>
      <c r="N66" s="92"/>
      <c r="O66" s="92"/>
      <c r="P66" s="88">
        <v>46664</v>
      </c>
      <c r="Q66" s="92"/>
      <c r="R66" s="92"/>
      <c r="S66" s="92"/>
      <c r="T66" s="92"/>
      <c r="U66" s="92"/>
    </row>
    <row r="67" s="64" customFormat="1" ht="15" spans="1:21">
      <c r="A67" s="77">
        <v>13</v>
      </c>
      <c r="B67" s="81">
        <f t="shared" si="2"/>
        <v>13</v>
      </c>
      <c r="C67" s="82" t="str">
        <f>IFERROR(VLOOKUP(A66,'产品订单（暂不含工业物料，待更新物料编码及装运信息）'!$C$10:$H$127,6,0),"")</f>
        <v/>
      </c>
      <c r="D67" s="83" t="str">
        <f t="shared" ref="D67:D71" si="13">IF(E67&lt;&gt;"","Thùng","")</f>
        <v/>
      </c>
      <c r="E67" s="84" t="str">
        <f>IFERROR(VLOOKUP(J67,'产品订单（暂不含工业物料，待更新物料编码及装运信息）'!$D$10:$N$127,11,FALSE),"")</f>
        <v/>
      </c>
      <c r="F67" s="85" t="str">
        <f>IFERROR(VLOOKUP(C67,'产品订单（暂不含工业物料，待更新物料编码及装运信息）'!$H$10:$N$127,4,FALSE),"")</f>
        <v/>
      </c>
      <c r="G67" s="86" t="str">
        <f t="shared" ref="G67:G71" si="14">IFERROR(IF(E67*F67&gt;0,E67*F67,""),"")</f>
        <v/>
      </c>
      <c r="H67" s="69"/>
      <c r="I67" s="91"/>
      <c r="J67" s="91" t="str">
        <f>IFERROR(VLOOKUP(A66,'产品订单（暂不含工业物料，待更新物料编码及装运信息）'!$C$10:$D$127,2,0),"")</f>
        <v/>
      </c>
      <c r="K67" s="92"/>
      <c r="L67" s="92"/>
      <c r="M67" s="92"/>
      <c r="N67" s="92"/>
      <c r="O67" s="92"/>
      <c r="P67" s="88">
        <v>46665</v>
      </c>
      <c r="Q67" s="92"/>
      <c r="R67" s="92"/>
      <c r="S67" s="92"/>
      <c r="T67" s="92"/>
      <c r="U67" s="92"/>
    </row>
    <row r="68" s="64" customFormat="1" ht="15" spans="1:21">
      <c r="A68" s="77">
        <v>14</v>
      </c>
      <c r="B68" s="81">
        <f t="shared" si="2"/>
        <v>13</v>
      </c>
      <c r="C68" s="87" t="str">
        <f>IFERROR(VLOOKUP(A66,'产品订单（暂不含工业物料，待更新物料编码及装运信息）'!$C$10:$J$127,8,0),"")</f>
        <v/>
      </c>
      <c r="D68" s="83" t="str">
        <f t="shared" ref="D68:D72" si="15">IF(E67&lt;&gt;"","箱","")</f>
        <v/>
      </c>
      <c r="E68" s="84"/>
      <c r="F68" s="85"/>
      <c r="G68" s="86"/>
      <c r="H68" s="69"/>
      <c r="I68" s="91"/>
      <c r="J68" s="91" t="str">
        <f>IFERROR(VLOOKUP(A67,'产品订单（暂不含工业物料，待更新物料编码及装运信息）'!$C$10:$D$127,2,0),"")</f>
        <v/>
      </c>
      <c r="K68" s="92"/>
      <c r="L68" s="92"/>
      <c r="M68" s="92"/>
      <c r="N68" s="92"/>
      <c r="O68" s="92"/>
      <c r="P68" s="88">
        <v>46666</v>
      </c>
      <c r="Q68" s="92"/>
      <c r="R68" s="92"/>
      <c r="S68" s="92"/>
      <c r="T68" s="92"/>
      <c r="U68" s="92"/>
    </row>
    <row r="69" s="64" customFormat="1" ht="15" spans="1:21">
      <c r="A69" s="77">
        <v>14</v>
      </c>
      <c r="B69" s="81">
        <f t="shared" si="2"/>
        <v>14</v>
      </c>
      <c r="C69" s="82" t="str">
        <f>IFERROR(VLOOKUP(A68,'产品订单（暂不含工业物料，待更新物料编码及装运信息）'!$C$10:$H$127,6,0),"")</f>
        <v/>
      </c>
      <c r="D69" s="83" t="str">
        <f t="shared" si="13"/>
        <v/>
      </c>
      <c r="E69" s="84" t="str">
        <f>IFERROR(VLOOKUP(J69,'产品订单（暂不含工业物料，待更新物料编码及装运信息）'!$D$10:$N$127,11,FALSE),"")</f>
        <v/>
      </c>
      <c r="F69" s="85" t="str">
        <f>IFERROR(VLOOKUP(C69,'产品订单（暂不含工业物料，待更新物料编码及装运信息）'!$H$10:$N$127,4,FALSE),"")</f>
        <v/>
      </c>
      <c r="G69" s="86" t="str">
        <f t="shared" si="14"/>
        <v/>
      </c>
      <c r="H69" s="69"/>
      <c r="I69" s="91"/>
      <c r="J69" s="91" t="str">
        <f>IFERROR(VLOOKUP(A68,'产品订单（暂不含工业物料，待更新物料编码及装运信息）'!$C$10:$D$127,2,0),"")</f>
        <v/>
      </c>
      <c r="K69" s="92"/>
      <c r="L69" s="92"/>
      <c r="M69" s="92"/>
      <c r="N69" s="92"/>
      <c r="O69" s="92"/>
      <c r="P69" s="88">
        <v>46667</v>
      </c>
      <c r="Q69" s="92"/>
      <c r="R69" s="92"/>
      <c r="S69" s="92"/>
      <c r="T69" s="92"/>
      <c r="U69" s="92"/>
    </row>
    <row r="70" s="64" customFormat="1" ht="15" spans="1:21">
      <c r="A70" s="77">
        <v>15</v>
      </c>
      <c r="B70" s="81">
        <f t="shared" si="2"/>
        <v>14</v>
      </c>
      <c r="C70" s="87" t="str">
        <f>IFERROR(VLOOKUP(A68,'产品订单（暂不含工业物料，待更新物料编码及装运信息）'!$C$10:$J$127,8,0),"")</f>
        <v/>
      </c>
      <c r="D70" s="83" t="str">
        <f t="shared" si="15"/>
        <v/>
      </c>
      <c r="E70" s="84"/>
      <c r="F70" s="85"/>
      <c r="G70" s="86"/>
      <c r="H70" s="69"/>
      <c r="I70" s="91"/>
      <c r="J70" s="91" t="str">
        <f>IFERROR(VLOOKUP(A69,'产品订单（暂不含工业物料，待更新物料编码及装运信息）'!$C$10:$D$127,2,0),"")</f>
        <v/>
      </c>
      <c r="K70" s="92"/>
      <c r="L70" s="92"/>
      <c r="M70" s="92"/>
      <c r="N70" s="92"/>
      <c r="O70" s="92"/>
      <c r="P70" s="92"/>
      <c r="Q70" s="92"/>
      <c r="R70" s="92"/>
      <c r="S70" s="92"/>
      <c r="T70" s="92"/>
      <c r="U70" s="92"/>
    </row>
    <row r="71" s="64" customFormat="1" ht="15" spans="1:21">
      <c r="A71" s="77">
        <v>15</v>
      </c>
      <c r="B71" s="81">
        <f t="shared" si="2"/>
        <v>15</v>
      </c>
      <c r="C71" s="82" t="str">
        <f>IFERROR(VLOOKUP(A70,'产品订单（暂不含工业物料，待更新物料编码及装运信息）'!$C$10:$H$127,6,0),"")</f>
        <v/>
      </c>
      <c r="D71" s="83" t="str">
        <f t="shared" si="13"/>
        <v/>
      </c>
      <c r="E71" s="84" t="str">
        <f>IFERROR(VLOOKUP(J71,'产品订单（暂不含工业物料，待更新物料编码及装运信息）'!$D$10:$N$127,11,FALSE),"")</f>
        <v/>
      </c>
      <c r="F71" s="85" t="str">
        <f>IFERROR(VLOOKUP(C71,'产品订单（暂不含工业物料，待更新物料编码及装运信息）'!$H$10:$N$127,4,FALSE),"")</f>
        <v/>
      </c>
      <c r="G71" s="86" t="str">
        <f t="shared" si="14"/>
        <v/>
      </c>
      <c r="H71" s="69"/>
      <c r="I71" s="91"/>
      <c r="J71" s="91" t="str">
        <f>IFERROR(VLOOKUP(A70,'产品订单（暂不含工业物料，待更新物料编码及装运信息）'!$C$10:$D$127,2,0),"")</f>
        <v/>
      </c>
      <c r="K71" s="92"/>
      <c r="L71" s="92"/>
      <c r="M71" s="92"/>
      <c r="N71" s="92"/>
      <c r="O71" s="92"/>
      <c r="P71" s="92"/>
      <c r="Q71" s="92"/>
      <c r="R71" s="92"/>
      <c r="S71" s="92"/>
      <c r="T71" s="92"/>
      <c r="U71" s="92"/>
    </row>
    <row r="72" s="64" customFormat="1" ht="15" spans="1:21">
      <c r="A72" s="77">
        <v>16</v>
      </c>
      <c r="B72" s="81">
        <f t="shared" si="2"/>
        <v>15</v>
      </c>
      <c r="C72" s="87" t="str">
        <f>IFERROR(VLOOKUP(A70,'产品订单（暂不含工业物料，待更新物料编码及装运信息）'!$C$10:$J$127,8,0),"")</f>
        <v/>
      </c>
      <c r="D72" s="83" t="str">
        <f t="shared" si="15"/>
        <v/>
      </c>
      <c r="E72" s="84"/>
      <c r="F72" s="85"/>
      <c r="G72" s="86"/>
      <c r="H72" s="69"/>
      <c r="I72" s="91"/>
      <c r="J72" s="91" t="str">
        <f>IFERROR(VLOOKUP(A71,'产品订单（暂不含工业物料，待更新物料编码及装运信息）'!$C$10:$D$127,2,0),"")</f>
        <v/>
      </c>
      <c r="K72" s="92"/>
      <c r="L72" s="92"/>
      <c r="M72" s="92"/>
      <c r="N72" s="92"/>
      <c r="O72" s="92"/>
      <c r="P72" s="92"/>
      <c r="Q72" s="92"/>
      <c r="R72" s="92"/>
      <c r="S72" s="92"/>
      <c r="T72" s="92"/>
      <c r="U72" s="92"/>
    </row>
    <row r="73" s="64" customFormat="1" ht="15" spans="1:21">
      <c r="A73" s="77">
        <v>16</v>
      </c>
      <c r="B73" s="81">
        <f t="shared" si="2"/>
        <v>16</v>
      </c>
      <c r="C73" s="82" t="str">
        <f>IFERROR(VLOOKUP(A72,'产品订单（暂不含工业物料，待更新物料编码及装运信息）'!$C$10:$H$127,6,0),"")</f>
        <v/>
      </c>
      <c r="D73" s="83" t="str">
        <f t="shared" ref="D73:D77" si="16">IF(E73&lt;&gt;"","Thùng","")</f>
        <v/>
      </c>
      <c r="E73" s="84" t="str">
        <f>IFERROR(VLOOKUP(J73,'产品订单（暂不含工业物料，待更新物料编码及装运信息）'!$D$10:$N$127,11,FALSE),"")</f>
        <v/>
      </c>
      <c r="F73" s="85" t="str">
        <f>IFERROR(VLOOKUP(C73,'产品订单（暂不含工业物料，待更新物料编码及装运信息）'!$H$10:$N$127,4,FALSE),"")</f>
        <v/>
      </c>
      <c r="G73" s="86" t="str">
        <f t="shared" ref="G73:G77" si="17">IFERROR(IF(E73*F73&gt;0,E73*F73,""),"")</f>
        <v/>
      </c>
      <c r="H73" s="69"/>
      <c r="I73" s="91"/>
      <c r="J73" s="91" t="str">
        <f>IFERROR(VLOOKUP(A72,'产品订单（暂不含工业物料，待更新物料编码及装运信息）'!$C$10:$D$127,2,0),"")</f>
        <v/>
      </c>
      <c r="K73" s="92"/>
      <c r="L73" s="92"/>
      <c r="M73" s="92"/>
      <c r="N73" s="92"/>
      <c r="O73" s="92"/>
      <c r="P73" s="92"/>
      <c r="Q73" s="92"/>
      <c r="R73" s="92"/>
      <c r="S73" s="92"/>
      <c r="T73" s="92"/>
      <c r="U73" s="92"/>
    </row>
    <row r="74" s="64" customFormat="1" ht="15" spans="1:21">
      <c r="A74" s="77">
        <v>17</v>
      </c>
      <c r="B74" s="81">
        <f t="shared" si="2"/>
        <v>16</v>
      </c>
      <c r="C74" s="87" t="str">
        <f>IFERROR(VLOOKUP(A72,'产品订单（暂不含工业物料，待更新物料编码及装运信息）'!$C$10:$J$127,8,0),"")</f>
        <v/>
      </c>
      <c r="D74" s="83" t="str">
        <f t="shared" ref="D74:D78" si="18">IF(E73&lt;&gt;"","箱","")</f>
        <v/>
      </c>
      <c r="E74" s="84"/>
      <c r="F74" s="85"/>
      <c r="G74" s="86"/>
      <c r="H74" s="69"/>
      <c r="I74" s="91"/>
      <c r="J74" s="91" t="str">
        <f>IFERROR(VLOOKUP(A73,'产品订单（暂不含工业物料，待更新物料编码及装运信息）'!$C$10:$D$127,2,0),"")</f>
        <v/>
      </c>
      <c r="K74" s="92"/>
      <c r="L74" s="92"/>
      <c r="M74" s="92"/>
      <c r="N74" s="92"/>
      <c r="O74" s="92"/>
      <c r="P74" s="92"/>
      <c r="Q74" s="92"/>
      <c r="R74" s="92"/>
      <c r="S74" s="92"/>
      <c r="T74" s="92"/>
      <c r="U74" s="92"/>
    </row>
    <row r="75" s="64" customFormat="1" ht="15" spans="1:21">
      <c r="A75" s="77">
        <v>17</v>
      </c>
      <c r="B75" s="81">
        <f t="shared" si="2"/>
        <v>17</v>
      </c>
      <c r="C75" s="82" t="str">
        <f>IFERROR(VLOOKUP(A74,'产品订单（暂不含工业物料，待更新物料编码及装运信息）'!$C$10:$H$127,6,0),"")</f>
        <v/>
      </c>
      <c r="D75" s="83" t="str">
        <f t="shared" si="16"/>
        <v/>
      </c>
      <c r="E75" s="84" t="str">
        <f>IFERROR(VLOOKUP(J75,'产品订单（暂不含工业物料，待更新物料编码及装运信息）'!$D$10:$N$127,11,FALSE),"")</f>
        <v/>
      </c>
      <c r="F75" s="85" t="str">
        <f>IFERROR(VLOOKUP(C75,'产品订单（暂不含工业物料，待更新物料编码及装运信息）'!$H$10:$N$127,4,FALSE),"")</f>
        <v/>
      </c>
      <c r="G75" s="86" t="str">
        <f t="shared" si="17"/>
        <v/>
      </c>
      <c r="H75" s="69"/>
      <c r="I75" s="91"/>
      <c r="J75" s="91" t="str">
        <f>IFERROR(VLOOKUP(A74,'产品订单（暂不含工业物料，待更新物料编码及装运信息）'!$C$10:$D$127,2,0),"")</f>
        <v/>
      </c>
      <c r="K75" s="92"/>
      <c r="L75" s="92"/>
      <c r="M75" s="92"/>
      <c r="N75" s="92"/>
      <c r="O75" s="92"/>
      <c r="P75" s="92"/>
      <c r="Q75" s="92"/>
      <c r="R75" s="92"/>
      <c r="S75" s="92"/>
      <c r="T75" s="92"/>
      <c r="U75" s="92"/>
    </row>
    <row r="76" s="64" customFormat="1" ht="15" spans="1:21">
      <c r="A76" s="77">
        <v>18</v>
      </c>
      <c r="B76" s="81">
        <f t="shared" si="2"/>
        <v>17</v>
      </c>
      <c r="C76" s="87" t="str">
        <f>IFERROR(VLOOKUP(A74,'产品订单（暂不含工业物料，待更新物料编码及装运信息）'!$C$10:$J$127,8,0),"")</f>
        <v/>
      </c>
      <c r="D76" s="83" t="str">
        <f t="shared" si="18"/>
        <v/>
      </c>
      <c r="E76" s="84"/>
      <c r="F76" s="85"/>
      <c r="G76" s="86"/>
      <c r="H76" s="69"/>
      <c r="I76" s="91"/>
      <c r="J76" s="91" t="str">
        <f>IFERROR(VLOOKUP(A75,'产品订单（暂不含工业物料，待更新物料编码及装运信息）'!$C$10:$D$127,2,0),"")</f>
        <v/>
      </c>
      <c r="K76" s="92"/>
      <c r="L76" s="92"/>
      <c r="M76" s="92"/>
      <c r="N76" s="92"/>
      <c r="O76" s="92"/>
      <c r="P76" s="92"/>
      <c r="Q76" s="92"/>
      <c r="R76" s="92"/>
      <c r="S76" s="92"/>
      <c r="T76" s="92"/>
      <c r="U76" s="92"/>
    </row>
    <row r="77" s="64" customFormat="1" ht="15" spans="1:21">
      <c r="A77" s="77">
        <v>18</v>
      </c>
      <c r="B77" s="81">
        <f t="shared" si="2"/>
        <v>18</v>
      </c>
      <c r="C77" s="82" t="str">
        <f>IFERROR(VLOOKUP(A76,'产品订单（暂不含工业物料，待更新物料编码及装运信息）'!$C$10:$H$127,6,0),"")</f>
        <v/>
      </c>
      <c r="D77" s="83" t="str">
        <f t="shared" si="16"/>
        <v/>
      </c>
      <c r="E77" s="84" t="str">
        <f>IFERROR(VLOOKUP(J77,'产品订单（暂不含工业物料，待更新物料编码及装运信息）'!$D$10:$N$127,11,FALSE),"")</f>
        <v/>
      </c>
      <c r="F77" s="85" t="str">
        <f>IFERROR(VLOOKUP(C77,'产品订单（暂不含工业物料，待更新物料编码及装运信息）'!$H$10:$N$127,4,FALSE),"")</f>
        <v/>
      </c>
      <c r="G77" s="86" t="str">
        <f t="shared" si="17"/>
        <v/>
      </c>
      <c r="H77" s="69"/>
      <c r="I77" s="91"/>
      <c r="J77" s="91" t="str">
        <f>IFERROR(VLOOKUP(A76,'产品订单（暂不含工业物料，待更新物料编码及装运信息）'!$C$10:$D$127,2,0),"")</f>
        <v/>
      </c>
      <c r="K77" s="92"/>
      <c r="L77" s="92"/>
      <c r="M77" s="92"/>
      <c r="N77" s="92"/>
      <c r="O77" s="92"/>
      <c r="P77" s="92"/>
      <c r="Q77" s="92"/>
      <c r="R77" s="92"/>
      <c r="S77" s="92"/>
      <c r="T77" s="92"/>
      <c r="U77" s="92"/>
    </row>
    <row r="78" s="64" customFormat="1" ht="15" spans="1:21">
      <c r="A78" s="77">
        <v>19</v>
      </c>
      <c r="B78" s="81">
        <f t="shared" si="2"/>
        <v>18</v>
      </c>
      <c r="C78" s="87" t="str">
        <f>IFERROR(VLOOKUP(A76,'产品订单（暂不含工业物料，待更新物料编码及装运信息）'!$C$10:$J$127,8,0),"")</f>
        <v/>
      </c>
      <c r="D78" s="83" t="str">
        <f t="shared" si="18"/>
        <v/>
      </c>
      <c r="E78" s="84"/>
      <c r="F78" s="85"/>
      <c r="G78" s="86"/>
      <c r="H78" s="69"/>
      <c r="I78" s="91"/>
      <c r="J78" s="91" t="str">
        <f>IFERROR(VLOOKUP(A77,'产品订单（暂不含工业物料，待更新物料编码及装运信息）'!$C$10:$D$127,2,0),"")</f>
        <v/>
      </c>
      <c r="K78" s="92"/>
      <c r="L78" s="92"/>
      <c r="M78" s="92"/>
      <c r="N78" s="92"/>
      <c r="O78" s="92"/>
      <c r="P78" s="92"/>
      <c r="Q78" s="92"/>
      <c r="R78" s="92"/>
      <c r="S78" s="92"/>
      <c r="T78" s="92"/>
      <c r="U78" s="92"/>
    </row>
    <row r="79" s="64" customFormat="1" ht="15" spans="1:21">
      <c r="A79" s="77">
        <v>19</v>
      </c>
      <c r="B79" s="81">
        <f t="shared" si="2"/>
        <v>19</v>
      </c>
      <c r="C79" s="82" t="str">
        <f>IFERROR(VLOOKUP(A78,'产品订单（暂不含工业物料，待更新物料编码及装运信息）'!$C$10:$H$127,6,0),"")</f>
        <v/>
      </c>
      <c r="D79" s="83" t="str">
        <f t="shared" ref="D79:D83" si="19">IF(E79&lt;&gt;"","Thùng","")</f>
        <v/>
      </c>
      <c r="E79" s="84" t="str">
        <f>IFERROR(VLOOKUP(J79,'产品订单（暂不含工业物料，待更新物料编码及装运信息）'!$D$10:$N$127,11,FALSE),"")</f>
        <v/>
      </c>
      <c r="F79" s="85" t="str">
        <f>IFERROR(VLOOKUP(C79,'产品订单（暂不含工业物料，待更新物料编码及装运信息）'!$H$10:$N$127,4,FALSE),"")</f>
        <v/>
      </c>
      <c r="G79" s="86" t="str">
        <f t="shared" ref="G79:G83" si="20">IFERROR(IF(E79*F79&gt;0,E79*F79,""),"")</f>
        <v/>
      </c>
      <c r="H79" s="69"/>
      <c r="I79" s="91"/>
      <c r="J79" s="91" t="str">
        <f>IFERROR(VLOOKUP(A78,'产品订单（暂不含工业物料，待更新物料编码及装运信息）'!$C$10:$D$127,2,0),"")</f>
        <v/>
      </c>
      <c r="K79" s="92"/>
      <c r="L79" s="92"/>
      <c r="M79" s="92"/>
      <c r="N79" s="92"/>
      <c r="O79" s="92"/>
      <c r="P79" s="92"/>
      <c r="Q79" s="92"/>
      <c r="R79" s="92"/>
      <c r="S79" s="92"/>
      <c r="T79" s="92"/>
      <c r="U79" s="92"/>
    </row>
    <row r="80" s="64" customFormat="1" ht="15" spans="1:21">
      <c r="A80" s="77">
        <v>20</v>
      </c>
      <c r="B80" s="81">
        <f t="shared" si="2"/>
        <v>19</v>
      </c>
      <c r="C80" s="87" t="str">
        <f>IFERROR(VLOOKUP(A78,'产品订单（暂不含工业物料，待更新物料编码及装运信息）'!$C$10:$J$127,8,0),"")</f>
        <v/>
      </c>
      <c r="D80" s="83" t="str">
        <f t="shared" ref="D80:D84" si="21">IF(E79&lt;&gt;"","箱","")</f>
        <v/>
      </c>
      <c r="E80" s="84"/>
      <c r="F80" s="85"/>
      <c r="G80" s="86"/>
      <c r="H80" s="69"/>
      <c r="I80" s="91"/>
      <c r="J80" s="91" t="str">
        <f>IFERROR(VLOOKUP(A79,'产品订单（暂不含工业物料，待更新物料编码及装运信息）'!$C$10:$D$127,2,0),"")</f>
        <v/>
      </c>
      <c r="K80" s="92"/>
      <c r="L80" s="92"/>
      <c r="M80" s="92"/>
      <c r="N80" s="92"/>
      <c r="O80" s="92"/>
      <c r="P80" s="92"/>
      <c r="Q80" s="92"/>
      <c r="R80" s="92"/>
      <c r="S80" s="92"/>
      <c r="T80" s="92"/>
      <c r="U80" s="92"/>
    </row>
    <row r="81" s="64" customFormat="1" ht="15" spans="1:21">
      <c r="A81" s="77">
        <v>20</v>
      </c>
      <c r="B81" s="81">
        <f t="shared" si="2"/>
        <v>20</v>
      </c>
      <c r="C81" s="82" t="str">
        <f>IFERROR(VLOOKUP(A80,'产品订单（暂不含工业物料，待更新物料编码及装运信息）'!$C$10:$H$127,6,0),"")</f>
        <v/>
      </c>
      <c r="D81" s="83" t="str">
        <f t="shared" si="19"/>
        <v/>
      </c>
      <c r="E81" s="84" t="str">
        <f>IFERROR(VLOOKUP(J81,'产品订单（暂不含工业物料，待更新物料编码及装运信息）'!$D$10:$N$127,11,FALSE),"")</f>
        <v/>
      </c>
      <c r="F81" s="85" t="str">
        <f>IFERROR(VLOOKUP(C81,'产品订单（暂不含工业物料，待更新物料编码及装运信息）'!$H$10:$N$127,4,FALSE),"")</f>
        <v/>
      </c>
      <c r="G81" s="86" t="str">
        <f t="shared" si="20"/>
        <v/>
      </c>
      <c r="H81" s="69"/>
      <c r="I81" s="91"/>
      <c r="J81" s="91" t="str">
        <f>IFERROR(VLOOKUP(A80,'产品订单（暂不含工业物料，待更新物料编码及装运信息）'!$C$10:$D$127,2,0),"")</f>
        <v/>
      </c>
      <c r="K81" s="92"/>
      <c r="L81" s="92"/>
      <c r="M81" s="92"/>
      <c r="N81" s="92"/>
      <c r="O81" s="92"/>
      <c r="P81" s="92"/>
      <c r="Q81" s="92"/>
      <c r="R81" s="92"/>
      <c r="S81" s="92"/>
      <c r="T81" s="92"/>
      <c r="U81" s="92"/>
    </row>
    <row r="82" s="64" customFormat="1" ht="15" spans="1:21">
      <c r="A82" s="77">
        <v>21</v>
      </c>
      <c r="B82" s="81">
        <f t="shared" si="2"/>
        <v>20</v>
      </c>
      <c r="C82" s="87" t="str">
        <f>IFERROR(VLOOKUP(A80,'产品订单（暂不含工业物料，待更新物料编码及装运信息）'!$C$10:$J$127,8,0),"")</f>
        <v/>
      </c>
      <c r="D82" s="83" t="str">
        <f t="shared" si="21"/>
        <v/>
      </c>
      <c r="E82" s="84"/>
      <c r="F82" s="85"/>
      <c r="G82" s="86"/>
      <c r="H82" s="69"/>
      <c r="I82" s="91"/>
      <c r="J82" s="91" t="str">
        <f>IFERROR(VLOOKUP(A81,'产品订单（暂不含工业物料，待更新物料编码及装运信息）'!$C$10:$D$127,2,0),"")</f>
        <v/>
      </c>
      <c r="K82" s="92"/>
      <c r="L82" s="92"/>
      <c r="M82" s="92"/>
      <c r="N82" s="92"/>
      <c r="O82" s="92"/>
      <c r="P82" s="92"/>
      <c r="Q82" s="92"/>
      <c r="R82" s="92"/>
      <c r="S82" s="92"/>
      <c r="T82" s="92"/>
      <c r="U82" s="92"/>
    </row>
    <row r="83" s="64" customFormat="1" ht="15" spans="1:21">
      <c r="A83" s="77">
        <v>21</v>
      </c>
      <c r="B83" s="81">
        <f t="shared" si="2"/>
        <v>21</v>
      </c>
      <c r="C83" s="82" t="str">
        <f>IFERROR(VLOOKUP(A82,'产品订单（暂不含工业物料，待更新物料编码及装运信息）'!$C$10:$H$127,6,0),"")</f>
        <v/>
      </c>
      <c r="D83" s="83" t="str">
        <f t="shared" si="19"/>
        <v/>
      </c>
      <c r="E83" s="84" t="str">
        <f>IFERROR(VLOOKUP(J83,'产品订单（暂不含工业物料，待更新物料编码及装运信息）'!$D$10:$N$127,11,FALSE),"")</f>
        <v/>
      </c>
      <c r="F83" s="85" t="str">
        <f>IFERROR(VLOOKUP(C83,'产品订单（暂不含工业物料，待更新物料编码及装运信息）'!$H$10:$N$127,4,FALSE),"")</f>
        <v/>
      </c>
      <c r="G83" s="86" t="str">
        <f t="shared" si="20"/>
        <v/>
      </c>
      <c r="H83" s="69"/>
      <c r="I83" s="91"/>
      <c r="J83" s="91" t="str">
        <f>IFERROR(VLOOKUP(A82,'产品订单（暂不含工业物料，待更新物料编码及装运信息）'!$C$10:$D$127,2,0),"")</f>
        <v/>
      </c>
      <c r="K83" s="92"/>
      <c r="L83" s="92"/>
      <c r="M83" s="92"/>
      <c r="N83" s="92"/>
      <c r="O83" s="92"/>
      <c r="P83" s="92"/>
      <c r="Q83" s="92"/>
      <c r="R83" s="92"/>
      <c r="S83" s="92"/>
      <c r="T83" s="92"/>
      <c r="U83" s="92"/>
    </row>
    <row r="84" s="64" customFormat="1" ht="15" spans="1:21">
      <c r="A84" s="77">
        <v>22</v>
      </c>
      <c r="B84" s="81">
        <f t="shared" si="2"/>
        <v>21</v>
      </c>
      <c r="C84" s="87" t="str">
        <f>IFERROR(VLOOKUP(A82,'产品订单（暂不含工业物料，待更新物料编码及装运信息）'!$C$10:$J$127,8,0),"")</f>
        <v/>
      </c>
      <c r="D84" s="83" t="str">
        <f t="shared" si="21"/>
        <v/>
      </c>
      <c r="E84" s="84"/>
      <c r="F84" s="85"/>
      <c r="G84" s="86"/>
      <c r="H84" s="69"/>
      <c r="I84" s="91"/>
      <c r="J84" s="91" t="str">
        <f>IFERROR(VLOOKUP(A83,'产品订单（暂不含工业物料，待更新物料编码及装运信息）'!$C$10:$D$127,2,0),"")</f>
        <v/>
      </c>
      <c r="K84" s="92"/>
      <c r="L84" s="92"/>
      <c r="M84" s="92"/>
      <c r="N84" s="92"/>
      <c r="O84" s="92"/>
      <c r="P84" s="92"/>
      <c r="Q84" s="92"/>
      <c r="R84" s="92"/>
      <c r="S84" s="92"/>
      <c r="T84" s="92"/>
      <c r="U84" s="92"/>
    </row>
    <row r="85" s="64" customFormat="1" ht="15" spans="1:21">
      <c r="A85" s="77">
        <v>22</v>
      </c>
      <c r="B85" s="81">
        <f t="shared" si="2"/>
        <v>22</v>
      </c>
      <c r="C85" s="82" t="str">
        <f>IFERROR(VLOOKUP(A84,'产品订单（暂不含工业物料，待更新物料编码及装运信息）'!$C$10:$H$127,6,0),"")</f>
        <v/>
      </c>
      <c r="D85" s="83" t="str">
        <f>IF(E85&lt;&gt;"","Thùng","")</f>
        <v/>
      </c>
      <c r="E85" s="84" t="str">
        <f>IFERROR(VLOOKUP(J85,'产品订单（暂不含工业物料，待更新物料编码及装运信息）'!$D$10:$N$127,11,FALSE),"")</f>
        <v/>
      </c>
      <c r="F85" s="85" t="str">
        <f>IFERROR(VLOOKUP(C85,'产品订单（暂不含工业物料，待更新物料编码及装运信息）'!$H$10:$N$127,4,FALSE),"")</f>
        <v/>
      </c>
      <c r="G85" s="86" t="str">
        <f>IFERROR(IF(E85*F85&gt;0,E85*F85,""),"")</f>
        <v/>
      </c>
      <c r="H85" s="69"/>
      <c r="I85" s="91"/>
      <c r="J85" s="91" t="str">
        <f>IFERROR(VLOOKUP(A84,'产品订单（暂不含工业物料，待更新物料编码及装运信息）'!$C$10:$D$127,2,0),"")</f>
        <v/>
      </c>
      <c r="K85" s="92"/>
      <c r="L85" s="92"/>
      <c r="M85" s="92"/>
      <c r="N85" s="92"/>
      <c r="O85" s="92"/>
      <c r="P85" s="92"/>
      <c r="Q85" s="92"/>
      <c r="R85" s="92"/>
      <c r="S85" s="92"/>
      <c r="T85" s="92"/>
      <c r="U85" s="92"/>
    </row>
    <row r="86" s="64" customFormat="1" ht="15" spans="1:21">
      <c r="A86" s="77">
        <v>23</v>
      </c>
      <c r="B86" s="81">
        <f t="shared" si="2"/>
        <v>22</v>
      </c>
      <c r="C86" s="87" t="str">
        <f>IFERROR(VLOOKUP(A84,'产品订单（暂不含工业物料，待更新物料编码及装运信息）'!$C$10:$J$127,8,0),"")</f>
        <v/>
      </c>
      <c r="D86" s="83" t="str">
        <f>IF(E85&lt;&gt;"","箱","")</f>
        <v/>
      </c>
      <c r="E86" s="84"/>
      <c r="F86" s="85"/>
      <c r="G86" s="86"/>
      <c r="H86" s="69"/>
      <c r="I86" s="91"/>
      <c r="J86" s="91" t="str">
        <f>IFERROR(VLOOKUP(A85,'产品订单（暂不含工业物料，待更新物料编码及装运信息）'!$C$10:$D$127,2,0),"")</f>
        <v/>
      </c>
      <c r="K86" s="92"/>
      <c r="L86" s="92"/>
      <c r="M86" s="92"/>
      <c r="N86" s="92"/>
      <c r="O86" s="92"/>
      <c r="P86" s="92"/>
      <c r="Q86" s="92"/>
      <c r="R86" s="92"/>
      <c r="S86" s="92"/>
      <c r="T86" s="92"/>
      <c r="U86" s="92"/>
    </row>
    <row r="87" s="64" customFormat="1" ht="15" spans="1:21">
      <c r="A87" s="77">
        <v>23</v>
      </c>
      <c r="B87" s="81">
        <f t="shared" si="2"/>
        <v>23</v>
      </c>
      <c r="C87" s="82" t="str">
        <f>IFERROR(VLOOKUP(A86,'产品订单（暂不含工业物料，待更新物料编码及装运信息）'!$C$10:$H$127,6,0),"")</f>
        <v/>
      </c>
      <c r="D87" s="83" t="str">
        <f>IF(E87&lt;&gt;"","Thùng","")</f>
        <v/>
      </c>
      <c r="E87" s="84" t="str">
        <f>IFERROR(VLOOKUP(J87,'产品订单（暂不含工业物料，待更新物料编码及装运信息）'!$D$10:$N$127,11,FALSE),"")</f>
        <v/>
      </c>
      <c r="F87" s="85" t="str">
        <f>IFERROR(VLOOKUP(C87,'产品订单（暂不含工业物料，待更新物料编码及装运信息）'!$H$10:$N$127,4,FALSE),"")</f>
        <v/>
      </c>
      <c r="G87" s="86" t="str">
        <f>IFERROR(IF(E87*F87&gt;0,E87*F87,""),"")</f>
        <v/>
      </c>
      <c r="H87" s="69"/>
      <c r="I87" s="91"/>
      <c r="J87" s="91" t="str">
        <f>IFERROR(VLOOKUP(A86,'产品订单（暂不含工业物料，待更新物料编码及装运信息）'!$C$10:$D$127,2,0),"")</f>
        <v/>
      </c>
      <c r="K87" s="92"/>
      <c r="L87" s="92"/>
      <c r="M87" s="92"/>
      <c r="N87" s="92"/>
      <c r="O87" s="92"/>
      <c r="P87" s="92"/>
      <c r="Q87" s="92"/>
      <c r="R87" s="92"/>
      <c r="S87" s="92"/>
      <c r="T87" s="92"/>
      <c r="U87" s="92"/>
    </row>
    <row r="88" s="64" customFormat="1" ht="15" spans="1:21">
      <c r="A88" s="77"/>
      <c r="B88" s="81">
        <f t="shared" si="2"/>
        <v>23</v>
      </c>
      <c r="C88" s="87" t="str">
        <f>IFERROR(VLOOKUP(A86,'产品订单（暂不含工业物料，待更新物料编码及装运信息）'!$C$10:$J$127,8,0),"")</f>
        <v/>
      </c>
      <c r="D88" s="83" t="str">
        <f>IF(E87&lt;&gt;"","箱","")</f>
        <v/>
      </c>
      <c r="E88" s="84"/>
      <c r="F88" s="85"/>
      <c r="G88" s="86"/>
      <c r="H88" s="69"/>
      <c r="I88" s="91"/>
      <c r="J88" s="91" t="str">
        <f>IFERROR(VLOOKUP(A87,'产品订单（暂不含工业物料，待更新物料编码及装运信息）'!$C$10:$D$127,2,0),"")</f>
        <v/>
      </c>
      <c r="K88" s="92"/>
      <c r="L88" s="92"/>
      <c r="M88" s="92"/>
      <c r="N88" s="92"/>
      <c r="O88" s="92"/>
      <c r="P88" s="92"/>
      <c r="Q88" s="92"/>
      <c r="R88" s="92"/>
      <c r="S88" s="92"/>
      <c r="T88" s="92"/>
      <c r="U88" s="92"/>
    </row>
    <row r="89" s="66" customFormat="1" ht="15" spans="1:21">
      <c r="A89" s="77"/>
      <c r="B89" s="96" t="s">
        <v>2011</v>
      </c>
      <c r="C89" s="97"/>
      <c r="D89" s="97"/>
      <c r="E89" s="97"/>
      <c r="F89" s="97"/>
      <c r="G89" s="98">
        <f>SUM(G43:G88)</f>
        <v>30833500</v>
      </c>
      <c r="H89" s="99"/>
      <c r="I89" s="114"/>
      <c r="J89" s="114"/>
      <c r="K89" s="115"/>
      <c r="L89" s="115"/>
      <c r="M89" s="115"/>
      <c r="N89" s="115"/>
      <c r="O89" s="115"/>
      <c r="P89" s="115"/>
      <c r="Q89" s="115"/>
      <c r="R89" s="115"/>
      <c r="S89" s="115"/>
      <c r="T89" s="115"/>
      <c r="U89" s="115"/>
    </row>
    <row r="90" s="66" customFormat="1" ht="15" spans="1:21">
      <c r="A90" s="77"/>
      <c r="B90" s="96" t="s">
        <v>2012</v>
      </c>
      <c r="C90" s="97"/>
      <c r="D90" s="97"/>
      <c r="E90" s="97"/>
      <c r="F90" s="97"/>
      <c r="G90" s="98">
        <f>'成交确认书-附录'!F55</f>
        <v>7521200</v>
      </c>
      <c r="H90" s="99"/>
      <c r="I90" s="114"/>
      <c r="J90" s="114"/>
      <c r="K90" s="115"/>
      <c r="L90" s="115"/>
      <c r="M90" s="115"/>
      <c r="N90" s="115"/>
      <c r="O90" s="115"/>
      <c r="P90" s="115"/>
      <c r="Q90" s="115"/>
      <c r="R90" s="115"/>
      <c r="S90" s="115"/>
      <c r="T90" s="115"/>
      <c r="U90" s="115"/>
    </row>
    <row r="91" s="66" customFormat="1" ht="15" spans="1:21">
      <c r="A91" s="77"/>
      <c r="B91" s="96" t="s">
        <v>2013</v>
      </c>
      <c r="C91" s="97"/>
      <c r="D91" s="97"/>
      <c r="E91" s="97"/>
      <c r="F91" s="97"/>
      <c r="G91" s="98"/>
      <c r="H91" s="99"/>
      <c r="I91" s="114"/>
      <c r="J91" s="114"/>
      <c r="K91" s="115"/>
      <c r="L91" s="115"/>
      <c r="M91" s="115"/>
      <c r="N91" s="115"/>
      <c r="O91" s="115"/>
      <c r="P91" s="115"/>
      <c r="Q91" s="115"/>
      <c r="R91" s="115"/>
      <c r="S91" s="115"/>
      <c r="T91" s="115"/>
      <c r="U91" s="115"/>
    </row>
    <row r="92" s="66" customFormat="1" ht="15" spans="1:21">
      <c r="A92" s="77"/>
      <c r="B92" s="96" t="s">
        <v>2014</v>
      </c>
      <c r="C92" s="97"/>
      <c r="D92" s="97"/>
      <c r="E92" s="97"/>
      <c r="F92" s="97"/>
      <c r="G92" s="98">
        <f>G89-G90-G91</f>
        <v>23312300</v>
      </c>
      <c r="H92" s="99"/>
      <c r="I92" s="114"/>
      <c r="J92" s="114"/>
      <c r="K92" s="115"/>
      <c r="L92" s="115"/>
      <c r="M92" s="115"/>
      <c r="N92" s="115"/>
      <c r="O92" s="115"/>
      <c r="P92" s="115"/>
      <c r="Q92" s="115"/>
      <c r="R92" s="115"/>
      <c r="S92" s="115"/>
      <c r="T92" s="115"/>
      <c r="U92" s="115"/>
    </row>
    <row r="93" s="66" customFormat="1" ht="15" spans="2:21">
      <c r="B93" s="96" t="s">
        <v>2015</v>
      </c>
      <c r="C93" s="97"/>
      <c r="D93" s="97"/>
      <c r="E93" s="97"/>
      <c r="F93" s="97"/>
      <c r="G93" s="98">
        <f>G92*8%</f>
        <v>1864984</v>
      </c>
      <c r="H93" s="99"/>
      <c r="I93" s="114"/>
      <c r="J93" s="114"/>
      <c r="K93" s="115"/>
      <c r="L93" s="115"/>
      <c r="M93" s="115"/>
      <c r="N93" s="115"/>
      <c r="O93" s="115"/>
      <c r="P93" s="115"/>
      <c r="Q93" s="115"/>
      <c r="R93" s="115"/>
      <c r="S93" s="115"/>
      <c r="T93" s="115"/>
      <c r="U93" s="115"/>
    </row>
    <row r="94" s="66" customFormat="1" ht="15.75" spans="1:21">
      <c r="A94" s="77"/>
      <c r="B94" s="100" t="s">
        <v>2016</v>
      </c>
      <c r="C94" s="101"/>
      <c r="D94" s="101"/>
      <c r="E94" s="101"/>
      <c r="F94" s="101"/>
      <c r="G94" s="102">
        <f>G92+G93</f>
        <v>25177284</v>
      </c>
      <c r="H94" s="99"/>
      <c r="I94" s="114"/>
      <c r="J94" s="114"/>
      <c r="K94" s="115"/>
      <c r="L94" s="115"/>
      <c r="M94" s="115"/>
      <c r="N94" s="115"/>
      <c r="O94" s="115"/>
      <c r="P94" s="115"/>
      <c r="Q94" s="115"/>
      <c r="R94" s="115"/>
      <c r="S94" s="115"/>
      <c r="T94" s="115"/>
      <c r="U94" s="115"/>
    </row>
    <row r="95" s="66" customFormat="1" ht="15" spans="2:21">
      <c r="B95" s="103"/>
      <c r="C95" s="104"/>
      <c r="D95" s="104"/>
      <c r="E95" s="104"/>
      <c r="F95" s="104"/>
      <c r="G95" s="104"/>
      <c r="H95" s="99"/>
      <c r="I95" s="114"/>
      <c r="J95" s="114"/>
      <c r="K95" s="115"/>
      <c r="L95" s="115"/>
      <c r="M95" s="115"/>
      <c r="N95" s="115"/>
      <c r="O95" s="115"/>
      <c r="P95" s="115"/>
      <c r="Q95" s="115"/>
      <c r="R95" s="115"/>
      <c r="S95" s="115"/>
      <c r="T95" s="115"/>
      <c r="U95" s="115"/>
    </row>
    <row r="96" s="66" customFormat="1" ht="15" spans="2:21">
      <c r="B96" s="103" t="s">
        <v>2017</v>
      </c>
      <c r="C96" s="104"/>
      <c r="D96" s="104"/>
      <c r="E96" s="104"/>
      <c r="F96" s="104"/>
      <c r="G96" s="104"/>
      <c r="H96" s="99"/>
      <c r="I96" s="114"/>
      <c r="J96" s="114"/>
      <c r="K96" s="115"/>
      <c r="L96" s="115"/>
      <c r="M96" s="115"/>
      <c r="N96" s="115"/>
      <c r="O96" s="115"/>
      <c r="P96" s="115"/>
      <c r="Q96" s="115"/>
      <c r="R96" s="115"/>
      <c r="S96" s="115"/>
      <c r="T96" s="115"/>
      <c r="U96" s="115"/>
    </row>
    <row r="97" s="66" customFormat="1" ht="15" spans="2:21">
      <c r="B97" s="103" t="str">
        <f>"2.1 到货地点 (Địa điểm giao hàng): "&amp;'产品订单（暂不含工业物料，待更新物料编码及装运信息）'!W2</f>
        <v>2.1 到货地点 (Địa điểm giao hàng): Số 132 đường Trần Phú, Phường Kỳ Lừa, Lạng Sơn	</v>
      </c>
      <c r="C97" s="104"/>
      <c r="D97" s="104"/>
      <c r="E97" s="104"/>
      <c r="F97" s="104"/>
      <c r="G97" s="104"/>
      <c r="H97" s="99"/>
      <c r="I97" s="116" t="s">
        <v>2018</v>
      </c>
      <c r="J97" s="114"/>
      <c r="K97" s="115"/>
      <c r="L97" s="115"/>
      <c r="M97" s="115"/>
      <c r="N97" s="115"/>
      <c r="O97" s="115"/>
      <c r="P97" s="115"/>
      <c r="Q97" s="115"/>
      <c r="R97" s="115"/>
      <c r="S97" s="115"/>
      <c r="T97" s="115"/>
      <c r="U97" s="115"/>
    </row>
    <row r="98" s="66" customFormat="1" ht="15" spans="2:21">
      <c r="B98" s="103" t="str">
        <f>"2.2 联系人与电话 (Người liên hệ &amp; SĐT):"&amp;"  "&amp;'产品订单（暂不含工业物料，待更新物料编码及装运信息）'!W3&amp;"  "&amp;'产品订单（暂不含工业物料，待更新物料编码及装运信息）'!W4</f>
        <v>2.2 联系人与电话 (Người liên hệ &amp; SĐT):  Anh Long（谅山）	  0942854827	</v>
      </c>
      <c r="C98" s="104"/>
      <c r="D98" s="104"/>
      <c r="E98" s="104"/>
      <c r="F98" s="104"/>
      <c r="G98" s="104"/>
      <c r="H98" s="99"/>
      <c r="I98" s="117" t="s">
        <v>2019</v>
      </c>
      <c r="J98" s="114"/>
      <c r="K98" s="115"/>
      <c r="L98" s="115"/>
      <c r="M98" s="115"/>
      <c r="N98" s="115"/>
      <c r="O98" s="115"/>
      <c r="P98" s="115"/>
      <c r="Q98" s="115"/>
      <c r="R98" s="115"/>
      <c r="S98" s="115"/>
      <c r="T98" s="115"/>
      <c r="U98" s="115"/>
    </row>
    <row r="99" s="66" customFormat="1" ht="15" spans="2:21">
      <c r="B99" s="103" t="str">
        <f>"2.3 交货期 (Thời hạn giao hàng): "&amp;K11&amp;" "&amp;K12</f>
        <v>2.3 交货期 (Thời hạn giao hàng): 2026年11月2日  Ngày 2 Tháng 11 Năm 2026</v>
      </c>
      <c r="C99" s="104"/>
      <c r="D99" s="104"/>
      <c r="E99" s="104"/>
      <c r="F99" s="104"/>
      <c r="G99" s="104"/>
      <c r="H99" s="99"/>
      <c r="I99" s="114"/>
      <c r="J99" s="114"/>
      <c r="K99" s="115"/>
      <c r="L99" s="115"/>
      <c r="M99" s="115"/>
      <c r="N99" s="115"/>
      <c r="O99" s="115"/>
      <c r="P99" s="115"/>
      <c r="Q99" s="115"/>
      <c r="R99" s="115"/>
      <c r="S99" s="115"/>
      <c r="T99" s="115"/>
      <c r="U99" s="115"/>
    </row>
    <row r="100" s="66" customFormat="1" ht="15" spans="2:21">
      <c r="B100" s="103"/>
      <c r="C100" s="104"/>
      <c r="D100" s="104"/>
      <c r="E100" s="104"/>
      <c r="F100" s="104"/>
      <c r="G100" s="104"/>
      <c r="H100" s="99"/>
      <c r="I100" s="114"/>
      <c r="J100" s="114"/>
      <c r="K100" s="115"/>
      <c r="L100" s="115"/>
      <c r="M100" s="115"/>
      <c r="N100" s="115"/>
      <c r="O100" s="115"/>
      <c r="P100" s="115"/>
      <c r="Q100" s="115"/>
      <c r="R100" s="115"/>
      <c r="S100" s="115"/>
      <c r="T100" s="115"/>
      <c r="U100" s="115"/>
    </row>
    <row r="101" s="66" customFormat="1" ht="15" spans="2:21">
      <c r="B101" s="103" t="s">
        <v>2020</v>
      </c>
      <c r="C101" s="104"/>
      <c r="D101" s="104"/>
      <c r="E101" s="104"/>
      <c r="F101" s="104"/>
      <c r="G101" s="104"/>
      <c r="H101" s="99"/>
      <c r="I101" s="114"/>
      <c r="J101" s="114"/>
      <c r="K101" s="115"/>
      <c r="L101" s="115"/>
      <c r="M101" s="115"/>
      <c r="N101" s="115"/>
      <c r="O101" s="115"/>
      <c r="P101" s="115"/>
      <c r="Q101" s="115"/>
      <c r="R101" s="115"/>
      <c r="S101" s="115"/>
      <c r="T101" s="115"/>
      <c r="U101" s="115"/>
    </row>
    <row r="102" s="66" customFormat="1" ht="15" spans="2:21">
      <c r="B102" s="105" t="str">
        <f>'产品订单（暂不含工业物料，待更新物料编码及装运信息）'!W5</f>
        <v>订单生效之日起3个工作日内，乙方应支付订单金额的【50】%作为预付款；自产品到达越南目的港/站后3个工作日内，乙方应支付订单金额剩余的全部款项。甲方将在收到订单100%款项后送货到乙方指定的收货地点。
Trong vòng 03 ngày làm việc kể từ ngày đơn hàng có hiệu lực, Bên Mua phải thanh toán 【50】%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v>
      </c>
      <c r="C102" s="105"/>
      <c r="D102" s="105"/>
      <c r="E102" s="105"/>
      <c r="F102" s="105"/>
      <c r="G102" s="105"/>
      <c r="H102" s="99"/>
      <c r="I102" s="118" t="s">
        <v>2021</v>
      </c>
      <c r="J102" s="114"/>
      <c r="K102" s="115"/>
      <c r="L102" s="115"/>
      <c r="M102" s="115"/>
      <c r="N102" s="115"/>
      <c r="O102" s="115"/>
      <c r="P102" s="115"/>
      <c r="Q102" s="115"/>
      <c r="R102" s="115"/>
      <c r="S102" s="115"/>
      <c r="T102" s="115"/>
      <c r="U102" s="115"/>
    </row>
    <row r="103" s="66" customFormat="1" ht="15" spans="2:21">
      <c r="B103" s="105"/>
      <c r="C103" s="105"/>
      <c r="D103" s="105"/>
      <c r="E103" s="105"/>
      <c r="F103" s="105"/>
      <c r="G103" s="105"/>
      <c r="H103" s="99"/>
      <c r="I103" s="119" t="s">
        <v>2022</v>
      </c>
      <c r="J103" s="114"/>
      <c r="K103" s="115"/>
      <c r="L103" s="115"/>
      <c r="M103" s="115"/>
      <c r="N103" s="115"/>
      <c r="O103" s="115"/>
      <c r="P103" s="115"/>
      <c r="Q103" s="115"/>
      <c r="R103" s="115"/>
      <c r="S103" s="115"/>
      <c r="T103" s="115"/>
      <c r="U103" s="115"/>
    </row>
    <row r="104" s="66" customFormat="1" ht="15" spans="2:21">
      <c r="B104" s="105"/>
      <c r="C104" s="105"/>
      <c r="D104" s="105"/>
      <c r="E104" s="105"/>
      <c r="F104" s="105"/>
      <c r="G104" s="105"/>
      <c r="H104" s="99"/>
      <c r="I104" s="114"/>
      <c r="J104" s="114"/>
      <c r="K104" s="115"/>
      <c r="L104" s="115"/>
      <c r="M104" s="115"/>
      <c r="N104" s="115"/>
      <c r="O104" s="115"/>
      <c r="P104" s="115"/>
      <c r="Q104" s="115"/>
      <c r="R104" s="115"/>
      <c r="S104" s="115"/>
      <c r="T104" s="115"/>
      <c r="U104" s="115"/>
    </row>
    <row r="105" s="66" customFormat="1" ht="15" spans="2:21">
      <c r="B105" s="105"/>
      <c r="C105" s="105"/>
      <c r="D105" s="105"/>
      <c r="E105" s="105"/>
      <c r="F105" s="105"/>
      <c r="G105" s="105"/>
      <c r="H105" s="99"/>
      <c r="I105" s="114"/>
      <c r="J105" s="114"/>
      <c r="K105" s="115"/>
      <c r="L105" s="115"/>
      <c r="M105" s="115"/>
      <c r="N105" s="115"/>
      <c r="O105" s="115"/>
      <c r="P105" s="115"/>
      <c r="Q105" s="115"/>
      <c r="R105" s="115"/>
      <c r="S105" s="115"/>
      <c r="T105" s="115"/>
      <c r="U105" s="115"/>
    </row>
    <row r="106" s="66" customFormat="1" ht="15" spans="2:21">
      <c r="B106" s="105"/>
      <c r="C106" s="105"/>
      <c r="D106" s="105"/>
      <c r="E106" s="105"/>
      <c r="F106" s="105"/>
      <c r="G106" s="105"/>
      <c r="H106" s="99"/>
      <c r="I106" s="114"/>
      <c r="J106" s="114"/>
      <c r="K106" s="115"/>
      <c r="L106" s="115"/>
      <c r="M106" s="115"/>
      <c r="N106" s="115"/>
      <c r="O106" s="115"/>
      <c r="P106" s="115"/>
      <c r="Q106" s="115"/>
      <c r="R106" s="115"/>
      <c r="S106" s="115"/>
      <c r="T106" s="115"/>
      <c r="U106" s="115"/>
    </row>
    <row r="107" s="66" customFormat="1" ht="15" spans="2:21">
      <c r="B107" s="105"/>
      <c r="C107" s="105"/>
      <c r="D107" s="105"/>
      <c r="E107" s="105"/>
      <c r="F107" s="105"/>
      <c r="G107" s="105"/>
      <c r="H107" s="99"/>
      <c r="I107" s="120"/>
      <c r="J107" s="120"/>
      <c r="K107" s="121"/>
      <c r="L107" s="121"/>
      <c r="M107" s="121"/>
      <c r="N107" s="121"/>
      <c r="O107" s="121"/>
      <c r="P107" s="121"/>
      <c r="Q107" s="121"/>
      <c r="R107" s="121"/>
      <c r="S107" s="121"/>
      <c r="T107" s="121"/>
      <c r="U107" s="121"/>
    </row>
    <row r="108" s="66" customFormat="1" ht="19.5" spans="2:22">
      <c r="B108" s="103"/>
      <c r="C108" s="104"/>
      <c r="D108" s="104"/>
      <c r="E108" s="104"/>
      <c r="F108" s="104"/>
      <c r="G108" s="104"/>
      <c r="H108" s="106"/>
      <c r="I108" s="120"/>
      <c r="J108" s="120"/>
      <c r="K108" s="121"/>
      <c r="L108" s="121"/>
      <c r="M108" s="121"/>
      <c r="N108" s="121"/>
      <c r="O108" s="121"/>
      <c r="P108" s="121"/>
      <c r="Q108" s="121"/>
      <c r="R108" s="121"/>
      <c r="S108" s="121"/>
      <c r="T108" s="121"/>
      <c r="U108" s="121"/>
      <c r="V108" s="122"/>
    </row>
    <row r="109" s="66" customFormat="1" ht="19.5" spans="2:22">
      <c r="B109" s="103" t="s">
        <v>2023</v>
      </c>
      <c r="C109" s="104"/>
      <c r="D109" s="104"/>
      <c r="E109" s="104"/>
      <c r="F109" s="104"/>
      <c r="G109" s="104"/>
      <c r="H109" s="106"/>
      <c r="I109" s="120"/>
      <c r="J109" s="120"/>
      <c r="K109" s="121"/>
      <c r="L109" s="121"/>
      <c r="M109" s="121"/>
      <c r="N109" s="121"/>
      <c r="O109" s="121"/>
      <c r="P109" s="121"/>
      <c r="Q109" s="121"/>
      <c r="R109" s="121"/>
      <c r="S109" s="121"/>
      <c r="T109" s="121"/>
      <c r="U109" s="121"/>
      <c r="V109" s="122"/>
    </row>
    <row r="110" s="66" customFormat="1" ht="19.5" spans="2:22">
      <c r="B110" s="103" t="s">
        <v>2024</v>
      </c>
      <c r="C110" s="104"/>
      <c r="D110" s="104"/>
      <c r="E110" s="104"/>
      <c r="F110" s="104"/>
      <c r="G110" s="104"/>
      <c r="H110" s="106"/>
      <c r="I110" s="120"/>
      <c r="J110" s="120"/>
      <c r="K110" s="121"/>
      <c r="L110" s="121"/>
      <c r="M110" s="121"/>
      <c r="N110" s="121"/>
      <c r="O110" s="121"/>
      <c r="P110" s="121"/>
      <c r="Q110" s="121"/>
      <c r="R110" s="121"/>
      <c r="S110" s="121"/>
      <c r="T110" s="121"/>
      <c r="U110" s="121"/>
      <c r="V110" s="122"/>
    </row>
    <row r="111" s="66" customFormat="1" ht="19.5" spans="2:22">
      <c r="B111" s="103" t="s">
        <v>2025</v>
      </c>
      <c r="C111" s="104"/>
      <c r="D111" s="104"/>
      <c r="E111" s="104"/>
      <c r="F111" s="104"/>
      <c r="G111" s="104"/>
      <c r="H111" s="106"/>
      <c r="I111" s="120"/>
      <c r="J111" s="120"/>
      <c r="K111" s="121"/>
      <c r="L111" s="121"/>
      <c r="M111" s="121"/>
      <c r="N111" s="121"/>
      <c r="O111" s="121"/>
      <c r="P111" s="121"/>
      <c r="Q111" s="121"/>
      <c r="R111" s="121"/>
      <c r="S111" s="121"/>
      <c r="T111" s="121"/>
      <c r="U111" s="121"/>
      <c r="V111" s="122"/>
    </row>
    <row r="112" s="66" customFormat="1" ht="19.5" spans="2:22">
      <c r="B112" s="103" t="s">
        <v>2026</v>
      </c>
      <c r="C112" s="104"/>
      <c r="D112" s="104"/>
      <c r="E112" s="104"/>
      <c r="F112" s="104"/>
      <c r="G112" s="104"/>
      <c r="H112" s="106"/>
      <c r="I112" s="120"/>
      <c r="J112" s="120"/>
      <c r="K112" s="121"/>
      <c r="L112" s="121"/>
      <c r="M112" s="121"/>
      <c r="N112" s="121"/>
      <c r="O112" s="121"/>
      <c r="P112" s="121"/>
      <c r="Q112" s="121"/>
      <c r="R112" s="121"/>
      <c r="S112" s="121"/>
      <c r="T112" s="121"/>
      <c r="U112" s="121"/>
      <c r="V112" s="122"/>
    </row>
    <row r="113" s="66" customFormat="1" ht="19.5" spans="2:22">
      <c r="B113" s="107" t="s">
        <v>2027</v>
      </c>
      <c r="C113" s="104"/>
      <c r="D113" s="104"/>
      <c r="E113" s="104"/>
      <c r="F113" s="104"/>
      <c r="G113" s="104"/>
      <c r="H113" s="106"/>
      <c r="I113" s="120"/>
      <c r="J113" s="120"/>
      <c r="K113" s="121"/>
      <c r="L113" s="121"/>
      <c r="M113" s="121"/>
      <c r="N113" s="121"/>
      <c r="O113" s="121"/>
      <c r="P113" s="121"/>
      <c r="Q113" s="121"/>
      <c r="R113" s="121"/>
      <c r="S113" s="121"/>
      <c r="T113" s="121"/>
      <c r="U113" s="121"/>
      <c r="V113" s="122"/>
    </row>
    <row r="114" s="66" customFormat="1" ht="19.5" spans="2:22">
      <c r="B114" s="103" t="s">
        <v>2028</v>
      </c>
      <c r="C114" s="104"/>
      <c r="D114" s="104"/>
      <c r="E114" s="104"/>
      <c r="F114" s="104"/>
      <c r="G114" s="104"/>
      <c r="H114" s="106"/>
      <c r="I114" s="120"/>
      <c r="J114" s="120"/>
      <c r="K114" s="121"/>
      <c r="L114" s="121"/>
      <c r="M114" s="121"/>
      <c r="N114" s="121"/>
      <c r="O114" s="121"/>
      <c r="P114" s="121"/>
      <c r="Q114" s="121"/>
      <c r="R114" s="121"/>
      <c r="S114" s="121"/>
      <c r="T114" s="121"/>
      <c r="U114" s="121"/>
      <c r="V114" s="122"/>
    </row>
    <row r="115" s="66" customFormat="1" ht="19.5" spans="2:22">
      <c r="B115" s="107" t="s">
        <v>2029</v>
      </c>
      <c r="C115" s="104"/>
      <c r="D115" s="104"/>
      <c r="E115" s="104"/>
      <c r="F115" s="104"/>
      <c r="G115" s="104"/>
      <c r="H115" s="106"/>
      <c r="I115" s="120"/>
      <c r="J115" s="120"/>
      <c r="K115" s="121"/>
      <c r="L115" s="121"/>
      <c r="M115" s="121"/>
      <c r="N115" s="121"/>
      <c r="O115" s="121"/>
      <c r="P115" s="121"/>
      <c r="Q115" s="121"/>
      <c r="R115" s="121"/>
      <c r="S115" s="121"/>
      <c r="T115" s="121"/>
      <c r="U115" s="121"/>
      <c r="V115" s="122"/>
    </row>
    <row r="116" s="66" customFormat="1" ht="19.5" spans="2:22">
      <c r="B116" s="103"/>
      <c r="C116" s="104"/>
      <c r="D116" s="104"/>
      <c r="E116" s="104"/>
      <c r="F116" s="104"/>
      <c r="G116" s="104"/>
      <c r="H116" s="106"/>
      <c r="I116" s="120"/>
      <c r="J116" s="120"/>
      <c r="K116" s="121"/>
      <c r="L116" s="121"/>
      <c r="M116" s="121"/>
      <c r="N116" s="121"/>
      <c r="O116" s="121"/>
      <c r="P116" s="121"/>
      <c r="Q116" s="121"/>
      <c r="R116" s="121"/>
      <c r="S116" s="121"/>
      <c r="T116" s="121"/>
      <c r="U116" s="121"/>
      <c r="V116" s="122"/>
    </row>
    <row r="117" s="66" customFormat="1" ht="19.5" spans="2:22">
      <c r="B117" s="103" t="s">
        <v>2030</v>
      </c>
      <c r="C117" s="104"/>
      <c r="D117" s="104"/>
      <c r="E117" s="104"/>
      <c r="F117" s="104"/>
      <c r="G117" s="104"/>
      <c r="H117" s="106"/>
      <c r="I117" s="120"/>
      <c r="J117" s="120"/>
      <c r="K117" s="121"/>
      <c r="L117" s="121"/>
      <c r="M117" s="121"/>
      <c r="N117" s="121"/>
      <c r="O117" s="121"/>
      <c r="P117" s="121"/>
      <c r="Q117" s="121"/>
      <c r="R117" s="121"/>
      <c r="S117" s="121"/>
      <c r="T117" s="121"/>
      <c r="U117" s="121"/>
      <c r="V117" s="122"/>
    </row>
    <row r="118" s="66" customFormat="1" ht="19.5" spans="2:22">
      <c r="B118" s="105" t="s">
        <v>2031</v>
      </c>
      <c r="C118" s="105"/>
      <c r="D118" s="105"/>
      <c r="E118" s="105"/>
      <c r="F118" s="105"/>
      <c r="G118" s="105"/>
      <c r="H118" s="106"/>
      <c r="I118" s="120"/>
      <c r="J118" s="120"/>
      <c r="K118" s="121"/>
      <c r="L118" s="121"/>
      <c r="M118" s="121"/>
      <c r="N118" s="121"/>
      <c r="O118" s="121"/>
      <c r="P118" s="121"/>
      <c r="Q118" s="121"/>
      <c r="R118" s="121"/>
      <c r="S118" s="121"/>
      <c r="T118" s="121"/>
      <c r="U118" s="121"/>
      <c r="V118" s="122"/>
    </row>
    <row r="119" s="66" customFormat="1" ht="19.5" spans="2:22">
      <c r="B119" s="105"/>
      <c r="C119" s="105"/>
      <c r="D119" s="105"/>
      <c r="E119" s="105"/>
      <c r="F119" s="105"/>
      <c r="G119" s="105"/>
      <c r="H119" s="106"/>
      <c r="I119" s="120"/>
      <c r="J119" s="120"/>
      <c r="K119" s="121"/>
      <c r="L119" s="121"/>
      <c r="M119" s="121"/>
      <c r="N119" s="121"/>
      <c r="O119" s="121"/>
      <c r="P119" s="121"/>
      <c r="Q119" s="121"/>
      <c r="R119" s="121"/>
      <c r="S119" s="121"/>
      <c r="T119" s="121"/>
      <c r="U119" s="121"/>
      <c r="V119" s="122"/>
    </row>
    <row r="120" s="66" customFormat="1" ht="19.5" spans="2:22">
      <c r="B120" s="108" t="s">
        <v>2032</v>
      </c>
      <c r="C120" s="108"/>
      <c r="D120" s="108"/>
      <c r="E120" s="108"/>
      <c r="F120" s="108"/>
      <c r="G120" s="108"/>
      <c r="H120" s="106"/>
      <c r="I120" s="120"/>
      <c r="J120" s="120"/>
      <c r="K120" s="121"/>
      <c r="L120" s="121"/>
      <c r="M120" s="121"/>
      <c r="N120" s="121"/>
      <c r="O120" s="121"/>
      <c r="P120" s="121"/>
      <c r="Q120" s="121"/>
      <c r="R120" s="121"/>
      <c r="S120" s="121"/>
      <c r="T120" s="121"/>
      <c r="U120" s="121"/>
      <c r="V120" s="122"/>
    </row>
    <row r="121" s="66" customFormat="1" ht="19.5" spans="2:22">
      <c r="B121" s="108"/>
      <c r="C121" s="108"/>
      <c r="D121" s="108"/>
      <c r="E121" s="108"/>
      <c r="F121" s="108"/>
      <c r="G121" s="108"/>
      <c r="H121" s="106"/>
      <c r="I121" s="120"/>
      <c r="J121" s="120"/>
      <c r="K121" s="121"/>
      <c r="L121" s="121"/>
      <c r="M121" s="121"/>
      <c r="N121" s="121"/>
      <c r="O121" s="121"/>
      <c r="P121" s="121"/>
      <c r="Q121" s="121"/>
      <c r="R121" s="121"/>
      <c r="S121" s="121"/>
      <c r="T121" s="121"/>
      <c r="U121" s="121"/>
      <c r="V121" s="122"/>
    </row>
    <row r="122" s="66" customFormat="1" ht="19.5" spans="2:22">
      <c r="B122" s="105" t="s">
        <v>2033</v>
      </c>
      <c r="C122" s="54"/>
      <c r="D122" s="54"/>
      <c r="E122" s="54"/>
      <c r="F122" s="54"/>
      <c r="G122" s="54"/>
      <c r="H122" s="106"/>
      <c r="I122" s="120"/>
      <c r="J122" s="120"/>
      <c r="K122" s="121"/>
      <c r="L122" s="121"/>
      <c r="M122" s="121"/>
      <c r="N122" s="121"/>
      <c r="O122" s="121"/>
      <c r="P122" s="121"/>
      <c r="Q122" s="121"/>
      <c r="R122" s="121"/>
      <c r="S122" s="121"/>
      <c r="T122" s="121"/>
      <c r="U122" s="121"/>
      <c r="V122" s="122"/>
    </row>
    <row r="123" s="66" customFormat="1" ht="19.5" spans="2:22">
      <c r="B123" s="54"/>
      <c r="C123" s="54"/>
      <c r="D123" s="54"/>
      <c r="E123" s="54"/>
      <c r="F123" s="54"/>
      <c r="G123" s="54"/>
      <c r="H123" s="106"/>
      <c r="I123" s="120"/>
      <c r="J123" s="120"/>
      <c r="K123" s="121"/>
      <c r="L123" s="121"/>
      <c r="M123" s="121"/>
      <c r="N123" s="121"/>
      <c r="O123" s="121"/>
      <c r="P123" s="121"/>
      <c r="Q123" s="121"/>
      <c r="R123" s="121"/>
      <c r="S123" s="121"/>
      <c r="T123" s="121"/>
      <c r="U123" s="121"/>
      <c r="V123" s="122"/>
    </row>
    <row r="124" s="66" customFormat="1" ht="15" spans="2:21">
      <c r="B124" s="108" t="s">
        <v>2034</v>
      </c>
      <c r="C124" s="109"/>
      <c r="D124" s="109"/>
      <c r="E124" s="109"/>
      <c r="F124" s="109"/>
      <c r="G124" s="109"/>
      <c r="H124" s="99"/>
      <c r="I124" s="120"/>
      <c r="J124" s="120"/>
      <c r="K124" s="121"/>
      <c r="L124" s="121"/>
      <c r="M124" s="121"/>
      <c r="N124" s="121"/>
      <c r="O124" s="121"/>
      <c r="P124" s="121"/>
      <c r="Q124" s="121"/>
      <c r="R124" s="121"/>
      <c r="S124" s="121"/>
      <c r="T124" s="121"/>
      <c r="U124" s="121"/>
    </row>
    <row r="125" s="66" customFormat="1" ht="15" spans="2:21">
      <c r="B125" s="109"/>
      <c r="C125" s="109"/>
      <c r="D125" s="109"/>
      <c r="E125" s="109"/>
      <c r="F125" s="109"/>
      <c r="G125" s="109"/>
      <c r="H125" s="99"/>
      <c r="I125" s="120"/>
      <c r="J125" s="120"/>
      <c r="K125" s="121"/>
      <c r="L125" s="121"/>
      <c r="M125" s="121"/>
      <c r="N125" s="121"/>
      <c r="O125" s="121"/>
      <c r="P125" s="121"/>
      <c r="Q125" s="121"/>
      <c r="R125" s="121"/>
      <c r="S125" s="121"/>
      <c r="T125" s="121"/>
      <c r="U125" s="121"/>
    </row>
    <row r="126" s="66" customFormat="1" ht="15" spans="2:21">
      <c r="B126" s="103" t="s">
        <v>2035</v>
      </c>
      <c r="C126" s="104"/>
      <c r="D126" s="104"/>
      <c r="E126" s="104"/>
      <c r="F126" s="104"/>
      <c r="G126" s="104"/>
      <c r="H126" s="99"/>
      <c r="I126" s="120"/>
      <c r="J126" s="120"/>
      <c r="K126" s="121"/>
      <c r="L126" s="121"/>
      <c r="M126" s="121"/>
      <c r="N126" s="121"/>
      <c r="O126" s="121"/>
      <c r="P126" s="121"/>
      <c r="Q126" s="121"/>
      <c r="R126" s="121"/>
      <c r="S126" s="121"/>
      <c r="T126" s="121"/>
      <c r="U126" s="121"/>
    </row>
    <row r="127" s="66" customFormat="1" ht="15" spans="2:21">
      <c r="B127" s="110" t="s">
        <v>2036</v>
      </c>
      <c r="C127" s="104"/>
      <c r="D127" s="104"/>
      <c r="E127" s="104"/>
      <c r="F127" s="104"/>
      <c r="G127" s="104"/>
      <c r="H127" s="99"/>
      <c r="I127" s="120"/>
      <c r="J127" s="120"/>
      <c r="K127" s="121"/>
      <c r="L127" s="121"/>
      <c r="M127" s="121"/>
      <c r="N127" s="121"/>
      <c r="O127" s="121"/>
      <c r="P127" s="121"/>
      <c r="Q127" s="121"/>
      <c r="R127" s="121"/>
      <c r="S127" s="121"/>
      <c r="T127" s="121"/>
      <c r="U127" s="121"/>
    </row>
    <row r="128" s="66" customFormat="1" ht="48" customHeight="1" spans="1:21">
      <c r="A128" s="103"/>
      <c r="B128" s="111" t="s">
        <v>2037</v>
      </c>
      <c r="C128" s="112"/>
      <c r="D128" s="112"/>
      <c r="E128" s="112"/>
      <c r="F128" s="112"/>
      <c r="G128" s="113"/>
      <c r="H128" s="99"/>
      <c r="I128" s="120"/>
      <c r="J128" s="120"/>
      <c r="K128" s="121"/>
      <c r="L128" s="121"/>
      <c r="M128" s="121"/>
      <c r="N128" s="121"/>
      <c r="O128" s="121"/>
      <c r="P128" s="121"/>
      <c r="Q128" s="121"/>
      <c r="R128" s="121"/>
      <c r="S128" s="121"/>
      <c r="T128" s="121"/>
      <c r="U128" s="121"/>
    </row>
    <row r="129" s="66" customFormat="1" ht="65" customHeight="1" spans="2:21">
      <c r="B129" s="123" t="s">
        <v>2038</v>
      </c>
      <c r="C129" s="124"/>
      <c r="D129" s="124"/>
      <c r="E129" s="124"/>
      <c r="F129" s="124"/>
      <c r="G129" s="125"/>
      <c r="H129" s="99"/>
      <c r="I129" s="120"/>
      <c r="J129" s="120"/>
      <c r="K129" s="121"/>
      <c r="L129" s="121"/>
      <c r="M129" s="121"/>
      <c r="N129" s="121"/>
      <c r="O129" s="121"/>
      <c r="P129" s="121"/>
      <c r="Q129" s="121"/>
      <c r="R129" s="121"/>
      <c r="S129" s="121"/>
      <c r="T129" s="121"/>
      <c r="U129" s="121"/>
    </row>
    <row r="130" s="66" customFormat="1" ht="15" spans="2:21">
      <c r="B130" s="103"/>
      <c r="C130" s="104"/>
      <c r="D130" s="104"/>
      <c r="E130" s="104"/>
      <c r="F130" s="104"/>
      <c r="G130" s="104"/>
      <c r="H130" s="99"/>
      <c r="I130" s="120"/>
      <c r="J130" s="120"/>
      <c r="K130" s="121"/>
      <c r="L130" s="121"/>
      <c r="M130" s="121"/>
      <c r="N130" s="121"/>
      <c r="O130" s="121"/>
      <c r="P130" s="121"/>
      <c r="Q130" s="121"/>
      <c r="R130" s="121"/>
      <c r="S130" s="121"/>
      <c r="T130" s="121"/>
      <c r="U130" s="121"/>
    </row>
    <row r="131" s="66" customFormat="1" ht="15" spans="2:21">
      <c r="B131" s="103" t="s">
        <v>2039</v>
      </c>
      <c r="C131" s="104"/>
      <c r="D131" s="104"/>
      <c r="E131" s="104"/>
      <c r="F131" s="104"/>
      <c r="G131" s="104"/>
      <c r="H131" s="99"/>
      <c r="I131" s="114"/>
      <c r="J131" s="114"/>
      <c r="K131" s="115"/>
      <c r="L131" s="115"/>
      <c r="M131" s="115"/>
      <c r="N131" s="115"/>
      <c r="O131" s="115"/>
      <c r="P131" s="115"/>
      <c r="Q131" s="115"/>
      <c r="R131" s="115"/>
      <c r="S131" s="115"/>
      <c r="T131" s="115"/>
      <c r="U131" s="115"/>
    </row>
    <row r="132" s="66" customFormat="1" ht="15" spans="2:21">
      <c r="B132" s="107" t="s">
        <v>2040</v>
      </c>
      <c r="C132" s="104"/>
      <c r="D132" s="104"/>
      <c r="E132" s="104"/>
      <c r="F132" s="104"/>
      <c r="G132" s="104"/>
      <c r="H132" s="99"/>
      <c r="I132" s="114"/>
      <c r="J132" s="114"/>
      <c r="K132" s="115"/>
      <c r="L132" s="115"/>
      <c r="M132" s="115"/>
      <c r="N132" s="115"/>
      <c r="O132" s="115"/>
      <c r="P132" s="115"/>
      <c r="Q132" s="115"/>
      <c r="R132" s="115"/>
      <c r="S132" s="115"/>
      <c r="T132" s="115"/>
      <c r="U132" s="115"/>
    </row>
    <row r="133" s="66" customFormat="1" ht="15" spans="2:21">
      <c r="B133" s="108" t="s">
        <v>2041</v>
      </c>
      <c r="C133" s="108"/>
      <c r="D133" s="108"/>
      <c r="E133" s="108"/>
      <c r="F133" s="108"/>
      <c r="G133" s="108"/>
      <c r="H133" s="99"/>
      <c r="I133" s="114"/>
      <c r="J133" s="114"/>
      <c r="K133" s="115"/>
      <c r="L133" s="115"/>
      <c r="M133" s="115"/>
      <c r="N133" s="115"/>
      <c r="O133" s="115"/>
      <c r="P133" s="115"/>
      <c r="Q133" s="115"/>
      <c r="R133" s="115"/>
      <c r="S133" s="115"/>
      <c r="T133" s="115"/>
      <c r="U133" s="115"/>
    </row>
    <row r="134" s="66" customFormat="1" ht="15" spans="2:21">
      <c r="B134" s="108"/>
      <c r="C134" s="108"/>
      <c r="D134" s="108"/>
      <c r="E134" s="108"/>
      <c r="F134" s="108"/>
      <c r="G134" s="108"/>
      <c r="H134" s="99"/>
      <c r="I134" s="114"/>
      <c r="J134" s="114"/>
      <c r="K134" s="115"/>
      <c r="L134" s="115"/>
      <c r="M134" s="115"/>
      <c r="N134" s="115"/>
      <c r="O134" s="115"/>
      <c r="P134" s="115"/>
      <c r="Q134" s="115"/>
      <c r="R134" s="115"/>
      <c r="S134" s="115"/>
      <c r="T134" s="115"/>
      <c r="U134" s="115"/>
    </row>
    <row r="135" s="66" customFormat="1" ht="15" spans="2:21">
      <c r="B135" s="103"/>
      <c r="C135" s="104"/>
      <c r="D135" s="104"/>
      <c r="E135" s="104"/>
      <c r="F135" s="104"/>
      <c r="G135" s="104"/>
      <c r="H135" s="99"/>
      <c r="I135" s="114"/>
      <c r="J135" s="114"/>
      <c r="K135" s="115"/>
      <c r="L135" s="115"/>
      <c r="M135" s="115"/>
      <c r="N135" s="115"/>
      <c r="O135" s="115"/>
      <c r="P135" s="115"/>
      <c r="Q135" s="115"/>
      <c r="R135" s="115"/>
      <c r="S135" s="115"/>
      <c r="T135" s="115"/>
      <c r="U135" s="115"/>
    </row>
    <row r="136" s="66" customFormat="1" ht="15" spans="2:21">
      <c r="B136" s="107" t="s">
        <v>2042</v>
      </c>
      <c r="C136" s="104"/>
      <c r="D136" s="104"/>
      <c r="E136" s="104"/>
      <c r="F136" s="104"/>
      <c r="G136" s="104"/>
      <c r="H136" s="99"/>
      <c r="I136" s="114"/>
      <c r="J136" s="114"/>
      <c r="K136" s="115"/>
      <c r="L136" s="115"/>
      <c r="M136" s="115"/>
      <c r="N136" s="115"/>
      <c r="O136" s="115"/>
      <c r="P136" s="115"/>
      <c r="Q136" s="115"/>
      <c r="R136" s="115"/>
      <c r="S136" s="115"/>
      <c r="T136" s="115"/>
      <c r="U136" s="115"/>
    </row>
    <row r="137" s="66" customFormat="1" ht="15" spans="2:21">
      <c r="B137" s="110" t="s">
        <v>2043</v>
      </c>
      <c r="C137" s="104"/>
      <c r="D137" s="104"/>
      <c r="E137" s="104"/>
      <c r="F137" s="104"/>
      <c r="G137" s="104"/>
      <c r="H137" s="99"/>
      <c r="I137" s="114"/>
      <c r="J137" s="114"/>
      <c r="K137" s="115"/>
      <c r="L137" s="115"/>
      <c r="M137" s="115"/>
      <c r="N137" s="115"/>
      <c r="O137" s="115"/>
      <c r="P137" s="115"/>
      <c r="Q137" s="115"/>
      <c r="R137" s="115"/>
      <c r="S137" s="115"/>
      <c r="T137" s="115"/>
      <c r="U137" s="115"/>
    </row>
    <row r="138" s="64" customFormat="1" spans="2:21">
      <c r="B138" s="126"/>
      <c r="C138" s="126"/>
      <c r="D138" s="126"/>
      <c r="E138" s="126"/>
      <c r="F138" s="126"/>
      <c r="G138" s="126"/>
      <c r="H138" s="127"/>
      <c r="I138" s="92"/>
      <c r="J138" s="92"/>
      <c r="K138" s="92"/>
      <c r="L138" s="92"/>
      <c r="M138" s="92"/>
      <c r="N138" s="92"/>
      <c r="O138" s="92"/>
      <c r="P138" s="92"/>
      <c r="Q138" s="92"/>
      <c r="R138" s="92"/>
      <c r="S138" s="92"/>
      <c r="T138" s="92"/>
      <c r="U138" s="92"/>
    </row>
    <row r="139" s="64" customFormat="1" ht="15" spans="2:21">
      <c r="B139" s="128" t="s">
        <v>2044</v>
      </c>
      <c r="C139" s="6"/>
      <c r="D139" s="6"/>
      <c r="E139" s="12" t="s">
        <v>2045</v>
      </c>
      <c r="F139" s="126"/>
      <c r="G139" s="126"/>
      <c r="H139" s="127"/>
      <c r="I139" s="92"/>
      <c r="J139" s="92"/>
      <c r="K139" s="92"/>
      <c r="L139" s="92"/>
      <c r="M139" s="92"/>
      <c r="N139" s="92"/>
      <c r="O139" s="92"/>
      <c r="P139" s="92"/>
      <c r="Q139" s="92"/>
      <c r="R139" s="92"/>
      <c r="S139" s="92"/>
      <c r="T139" s="92"/>
      <c r="U139" s="92"/>
    </row>
    <row r="140" s="64" customFormat="1" ht="15" spans="2:21">
      <c r="B140" s="7" t="s">
        <v>2046</v>
      </c>
      <c r="C140" s="6"/>
      <c r="D140" s="6"/>
      <c r="E140" s="6" t="s">
        <v>2047</v>
      </c>
      <c r="F140" s="126"/>
      <c r="G140" s="126"/>
      <c r="H140" s="127"/>
      <c r="I140" s="92"/>
      <c r="J140" s="92"/>
      <c r="K140" s="92"/>
      <c r="L140" s="92"/>
      <c r="M140" s="92"/>
      <c r="N140" s="92"/>
      <c r="O140" s="92"/>
      <c r="P140" s="92"/>
      <c r="Q140" s="92"/>
      <c r="R140" s="92"/>
      <c r="S140" s="92"/>
      <c r="T140" s="92"/>
      <c r="U140" s="92"/>
    </row>
    <row r="141" s="64" customFormat="1" ht="15" spans="2:21">
      <c r="B141" s="128" t="s">
        <v>2048</v>
      </c>
      <c r="C141" s="6"/>
      <c r="D141" s="6"/>
      <c r="E141" s="12" t="s">
        <v>2048</v>
      </c>
      <c r="F141" s="126"/>
      <c r="G141" s="126"/>
      <c r="H141" s="127"/>
      <c r="I141" s="92"/>
      <c r="J141" s="92"/>
      <c r="K141" s="92"/>
      <c r="L141" s="92"/>
      <c r="M141" s="92"/>
      <c r="N141" s="92"/>
      <c r="O141" s="92"/>
      <c r="P141" s="92"/>
      <c r="Q141" s="92"/>
      <c r="R141" s="92"/>
      <c r="S141" s="92"/>
      <c r="T141" s="92"/>
      <c r="U141" s="92"/>
    </row>
    <row r="142" s="64" customFormat="1" ht="15" spans="2:21">
      <c r="B142" s="7" t="s">
        <v>2049</v>
      </c>
      <c r="C142" s="6"/>
      <c r="D142" s="6"/>
      <c r="E142" s="6" t="s">
        <v>2049</v>
      </c>
      <c r="F142" s="126"/>
      <c r="G142" s="126"/>
      <c r="H142" s="127"/>
      <c r="I142" s="92"/>
      <c r="J142" s="92"/>
      <c r="K142" s="92"/>
      <c r="L142" s="92"/>
      <c r="M142" s="92"/>
      <c r="N142" s="92"/>
      <c r="O142" s="92"/>
      <c r="P142" s="92"/>
      <c r="Q142" s="92"/>
      <c r="R142" s="92"/>
      <c r="S142" s="92"/>
      <c r="T142" s="92"/>
      <c r="U142" s="92"/>
    </row>
    <row r="143" s="64" customFormat="1" ht="15" spans="2:21">
      <c r="B143" s="7"/>
      <c r="C143" s="6"/>
      <c r="D143" s="6"/>
      <c r="E143" s="6"/>
      <c r="F143" s="126"/>
      <c r="G143" s="126"/>
      <c r="H143" s="127"/>
      <c r="I143" s="92"/>
      <c r="J143" s="92"/>
      <c r="K143" s="92"/>
      <c r="L143" s="92"/>
      <c r="M143" s="92"/>
      <c r="N143" s="92"/>
      <c r="O143" s="92"/>
      <c r="P143" s="92"/>
      <c r="Q143" s="92"/>
      <c r="R143" s="92"/>
      <c r="S143" s="92"/>
      <c r="T143" s="92"/>
      <c r="U143" s="92"/>
    </row>
    <row r="144" s="64" customFormat="1" ht="15" spans="2:21">
      <c r="B144" s="128" t="s">
        <v>2050</v>
      </c>
      <c r="C144" s="6"/>
      <c r="D144" s="6"/>
      <c r="E144" s="12" t="s">
        <v>2050</v>
      </c>
      <c r="F144" s="126"/>
      <c r="G144" s="126"/>
      <c r="H144" s="127"/>
      <c r="I144" s="92"/>
      <c r="J144" s="92"/>
      <c r="K144" s="92"/>
      <c r="L144" s="92"/>
      <c r="M144" s="92"/>
      <c r="N144" s="92"/>
      <c r="O144" s="92"/>
      <c r="P144" s="92"/>
      <c r="Q144" s="92"/>
      <c r="R144" s="92"/>
      <c r="S144" s="92"/>
      <c r="T144" s="92"/>
      <c r="U144" s="92"/>
    </row>
    <row r="145" s="64" customFormat="1" ht="15" spans="2:21">
      <c r="B145" s="7" t="s">
        <v>2051</v>
      </c>
      <c r="C145" s="6"/>
      <c r="D145" s="6"/>
      <c r="E145" s="6" t="s">
        <v>2051</v>
      </c>
      <c r="F145" s="126"/>
      <c r="G145" s="126"/>
      <c r="H145" s="127"/>
      <c r="I145" s="92"/>
      <c r="J145" s="92"/>
      <c r="K145" s="92"/>
      <c r="L145" s="92"/>
      <c r="M145" s="92"/>
      <c r="N145" s="92"/>
      <c r="O145" s="92"/>
      <c r="P145" s="92"/>
      <c r="Q145" s="92"/>
      <c r="R145" s="92"/>
      <c r="S145" s="92"/>
      <c r="T145" s="92"/>
      <c r="U145" s="92"/>
    </row>
    <row r="146" spans="2:21">
      <c r="B146" s="129"/>
      <c r="C146" s="129"/>
      <c r="D146" s="129"/>
      <c r="E146" s="129"/>
      <c r="F146" s="129"/>
      <c r="G146" s="129"/>
      <c r="H146" s="130"/>
      <c r="I146" s="131"/>
      <c r="J146" s="131"/>
      <c r="K146" s="131"/>
      <c r="L146" s="131"/>
      <c r="M146" s="131"/>
      <c r="N146" s="131"/>
      <c r="O146" s="131"/>
      <c r="P146" s="131"/>
      <c r="Q146" s="131"/>
      <c r="R146" s="131"/>
      <c r="S146" s="131"/>
      <c r="T146" s="131"/>
      <c r="U146" s="131"/>
    </row>
    <row r="147" spans="2:21">
      <c r="B147" s="129"/>
      <c r="C147" s="129"/>
      <c r="D147" s="129"/>
      <c r="E147" s="129"/>
      <c r="F147" s="129"/>
      <c r="G147" s="129"/>
      <c r="H147" s="130"/>
      <c r="I147" s="131"/>
      <c r="J147" s="131"/>
      <c r="K147" s="131"/>
      <c r="L147" s="131"/>
      <c r="M147" s="131"/>
      <c r="N147" s="131"/>
      <c r="O147" s="131"/>
      <c r="P147" s="131"/>
      <c r="Q147" s="131"/>
      <c r="R147" s="131"/>
      <c r="S147" s="131"/>
      <c r="T147" s="131"/>
      <c r="U147" s="131"/>
    </row>
    <row r="148" spans="2:21">
      <c r="B148" s="129"/>
      <c r="C148" s="129"/>
      <c r="D148" s="129"/>
      <c r="E148" s="129"/>
      <c r="F148" s="129"/>
      <c r="G148" s="129"/>
      <c r="H148" s="130"/>
      <c r="I148" s="131"/>
      <c r="J148" s="131"/>
      <c r="K148" s="131"/>
      <c r="L148" s="131"/>
      <c r="M148" s="131"/>
      <c r="N148" s="131"/>
      <c r="O148" s="131"/>
      <c r="P148" s="131"/>
      <c r="Q148" s="131"/>
      <c r="R148" s="131"/>
      <c r="S148" s="131"/>
      <c r="T148" s="131"/>
      <c r="U148" s="131"/>
    </row>
    <row r="149" spans="2:21">
      <c r="B149" s="129"/>
      <c r="C149" s="129"/>
      <c r="D149" s="129"/>
      <c r="E149" s="129"/>
      <c r="F149" s="129"/>
      <c r="G149" s="129"/>
      <c r="H149" s="130"/>
      <c r="I149" s="131"/>
      <c r="J149" s="131"/>
      <c r="K149" s="131"/>
      <c r="L149" s="131"/>
      <c r="M149" s="131"/>
      <c r="N149" s="131"/>
      <c r="O149" s="131"/>
      <c r="P149" s="131"/>
      <c r="Q149" s="131"/>
      <c r="R149" s="131"/>
      <c r="S149" s="131"/>
      <c r="T149" s="131"/>
      <c r="U149" s="131"/>
    </row>
    <row r="150" spans="2:21">
      <c r="B150" s="129"/>
      <c r="C150" s="129"/>
      <c r="D150" s="129"/>
      <c r="E150" s="129"/>
      <c r="F150" s="129"/>
      <c r="G150" s="129"/>
      <c r="H150" s="130"/>
      <c r="I150" s="131"/>
      <c r="J150" s="131"/>
      <c r="K150" s="131"/>
      <c r="L150" s="131"/>
      <c r="M150" s="131"/>
      <c r="N150" s="131"/>
      <c r="O150" s="131"/>
      <c r="P150" s="131"/>
      <c r="Q150" s="131"/>
      <c r="R150" s="131"/>
      <c r="S150" s="131"/>
      <c r="T150" s="131"/>
      <c r="U150" s="131"/>
    </row>
    <row r="151" spans="2:21">
      <c r="B151" s="129"/>
      <c r="C151" s="129"/>
      <c r="D151" s="129"/>
      <c r="E151" s="129"/>
      <c r="F151" s="129"/>
      <c r="G151" s="129"/>
      <c r="H151" s="130"/>
      <c r="I151" s="131"/>
      <c r="J151" s="131"/>
      <c r="K151" s="131"/>
      <c r="L151" s="131"/>
      <c r="M151" s="131"/>
      <c r="N151" s="131"/>
      <c r="O151" s="131"/>
      <c r="P151" s="131"/>
      <c r="Q151" s="131"/>
      <c r="R151" s="131"/>
      <c r="S151" s="131"/>
      <c r="T151" s="131"/>
      <c r="U151" s="131"/>
    </row>
    <row r="152" spans="2:21">
      <c r="B152" s="129"/>
      <c r="C152" s="129"/>
      <c r="D152" s="129"/>
      <c r="E152" s="129"/>
      <c r="F152" s="129"/>
      <c r="G152" s="129"/>
      <c r="H152" s="130"/>
      <c r="I152" s="131"/>
      <c r="J152" s="131"/>
      <c r="K152" s="131"/>
      <c r="L152" s="131"/>
      <c r="M152" s="131"/>
      <c r="N152" s="131"/>
      <c r="O152" s="131"/>
      <c r="P152" s="131"/>
      <c r="Q152" s="131"/>
      <c r="R152" s="131"/>
      <c r="S152" s="131"/>
      <c r="T152" s="131"/>
      <c r="U152" s="131"/>
    </row>
    <row r="153" spans="2:21">
      <c r="B153" s="129"/>
      <c r="C153" s="129"/>
      <c r="D153" s="129"/>
      <c r="E153" s="129"/>
      <c r="F153" s="129"/>
      <c r="G153" s="129"/>
      <c r="H153" s="130"/>
      <c r="I153" s="131"/>
      <c r="J153" s="131"/>
      <c r="K153" s="131"/>
      <c r="L153" s="131"/>
      <c r="M153" s="131"/>
      <c r="N153" s="131"/>
      <c r="O153" s="131"/>
      <c r="P153" s="131"/>
      <c r="Q153" s="131"/>
      <c r="R153" s="131"/>
      <c r="S153" s="131"/>
      <c r="T153" s="131"/>
      <c r="U153" s="131"/>
    </row>
    <row r="154" spans="2:21">
      <c r="B154" s="129"/>
      <c r="C154" s="129"/>
      <c r="D154" s="129"/>
      <c r="E154" s="129"/>
      <c r="F154" s="129"/>
      <c r="G154" s="129"/>
      <c r="H154" s="130"/>
      <c r="I154" s="131"/>
      <c r="J154" s="131"/>
      <c r="K154" s="131"/>
      <c r="L154" s="131"/>
      <c r="M154" s="131"/>
      <c r="N154" s="131"/>
      <c r="O154" s="131"/>
      <c r="P154" s="131"/>
      <c r="Q154" s="131"/>
      <c r="R154" s="131"/>
      <c r="S154" s="131"/>
      <c r="T154" s="131"/>
      <c r="U154" s="131"/>
    </row>
    <row r="155" spans="2:21">
      <c r="B155" s="129"/>
      <c r="C155" s="129"/>
      <c r="D155" s="129"/>
      <c r="E155" s="129"/>
      <c r="F155" s="129"/>
      <c r="G155" s="129"/>
      <c r="H155" s="130"/>
      <c r="I155" s="131"/>
      <c r="J155" s="131"/>
      <c r="K155" s="131"/>
      <c r="L155" s="131"/>
      <c r="M155" s="131"/>
      <c r="N155" s="131"/>
      <c r="O155" s="131"/>
      <c r="P155" s="131"/>
      <c r="Q155" s="131"/>
      <c r="R155" s="131"/>
      <c r="S155" s="131"/>
      <c r="T155" s="131"/>
      <c r="U155" s="131"/>
    </row>
    <row r="156" spans="2:21">
      <c r="B156" s="129"/>
      <c r="C156" s="129"/>
      <c r="D156" s="129"/>
      <c r="E156" s="129"/>
      <c r="F156" s="129"/>
      <c r="G156" s="129"/>
      <c r="H156" s="130"/>
      <c r="I156" s="131"/>
      <c r="J156" s="131"/>
      <c r="K156" s="131"/>
      <c r="L156" s="131"/>
      <c r="M156" s="131"/>
      <c r="N156" s="131"/>
      <c r="O156" s="131"/>
      <c r="P156" s="131"/>
      <c r="Q156" s="131"/>
      <c r="R156" s="131"/>
      <c r="S156" s="131"/>
      <c r="T156" s="131"/>
      <c r="U156" s="131"/>
    </row>
    <row r="157" spans="2:21">
      <c r="B157" s="129"/>
      <c r="C157" s="129"/>
      <c r="D157" s="129"/>
      <c r="E157" s="129"/>
      <c r="F157" s="129"/>
      <c r="G157" s="129"/>
      <c r="H157" s="130"/>
      <c r="I157" s="131"/>
      <c r="J157" s="131"/>
      <c r="K157" s="131"/>
      <c r="L157" s="131"/>
      <c r="M157" s="131"/>
      <c r="N157" s="131"/>
      <c r="O157" s="131"/>
      <c r="P157" s="131"/>
      <c r="Q157" s="131"/>
      <c r="R157" s="131"/>
      <c r="S157" s="131"/>
      <c r="T157" s="131"/>
      <c r="U157" s="131"/>
    </row>
    <row r="158" spans="2:21">
      <c r="B158" s="129"/>
      <c r="C158" s="129"/>
      <c r="D158" s="129"/>
      <c r="E158" s="129"/>
      <c r="F158" s="129"/>
      <c r="G158" s="129"/>
      <c r="H158" s="130"/>
      <c r="I158" s="131"/>
      <c r="J158" s="131"/>
      <c r="K158" s="131"/>
      <c r="L158" s="131"/>
      <c r="M158" s="131"/>
      <c r="N158" s="131"/>
      <c r="O158" s="131"/>
      <c r="P158" s="131"/>
      <c r="Q158" s="131"/>
      <c r="R158" s="131"/>
      <c r="S158" s="131"/>
      <c r="T158" s="131"/>
      <c r="U158" s="131"/>
    </row>
    <row r="159" spans="2:21">
      <c r="B159" s="129"/>
      <c r="C159" s="129"/>
      <c r="D159" s="129"/>
      <c r="E159" s="129"/>
      <c r="F159" s="129"/>
      <c r="G159" s="129"/>
      <c r="H159" s="130"/>
      <c r="I159" s="131"/>
      <c r="J159" s="131"/>
      <c r="K159" s="131"/>
      <c r="L159" s="131"/>
      <c r="M159" s="131"/>
      <c r="N159" s="131"/>
      <c r="O159" s="131"/>
      <c r="P159" s="131"/>
      <c r="Q159" s="131"/>
      <c r="R159" s="131"/>
      <c r="S159" s="131"/>
      <c r="T159" s="131"/>
      <c r="U159" s="131"/>
    </row>
    <row r="160" spans="2:21">
      <c r="B160" s="129"/>
      <c r="C160" s="129"/>
      <c r="D160" s="129"/>
      <c r="E160" s="129"/>
      <c r="F160" s="129"/>
      <c r="G160" s="129"/>
      <c r="H160" s="130"/>
      <c r="I160" s="131"/>
      <c r="J160" s="131"/>
      <c r="K160" s="131"/>
      <c r="L160" s="131"/>
      <c r="M160" s="131"/>
      <c r="N160" s="131"/>
      <c r="O160" s="131"/>
      <c r="P160" s="131"/>
      <c r="Q160" s="131"/>
      <c r="R160" s="131"/>
      <c r="S160" s="131"/>
      <c r="T160" s="131"/>
      <c r="U160" s="131"/>
    </row>
    <row r="161" spans="2:21">
      <c r="B161" s="129"/>
      <c r="C161" s="129"/>
      <c r="D161" s="129"/>
      <c r="E161" s="129"/>
      <c r="F161" s="129"/>
      <c r="G161" s="129"/>
      <c r="H161" s="130"/>
      <c r="I161" s="131"/>
      <c r="J161" s="131"/>
      <c r="K161" s="131"/>
      <c r="L161" s="131"/>
      <c r="M161" s="131"/>
      <c r="N161" s="131"/>
      <c r="O161" s="131"/>
      <c r="P161" s="131"/>
      <c r="Q161" s="131"/>
      <c r="R161" s="131"/>
      <c r="S161" s="131"/>
      <c r="T161" s="131"/>
      <c r="U161" s="131"/>
    </row>
    <row r="162" spans="2:21">
      <c r="B162" s="129"/>
      <c r="C162" s="129"/>
      <c r="D162" s="129"/>
      <c r="E162" s="129"/>
      <c r="F162" s="129"/>
      <c r="G162" s="129"/>
      <c r="H162" s="130"/>
      <c r="I162" s="131"/>
      <c r="J162" s="131"/>
      <c r="K162" s="131"/>
      <c r="L162" s="131"/>
      <c r="M162" s="131"/>
      <c r="N162" s="131"/>
      <c r="O162" s="131"/>
      <c r="P162" s="131"/>
      <c r="Q162" s="131"/>
      <c r="R162" s="131"/>
      <c r="S162" s="131"/>
      <c r="T162" s="131"/>
      <c r="U162" s="131"/>
    </row>
    <row r="163" spans="2:21">
      <c r="B163" s="129"/>
      <c r="C163" s="129"/>
      <c r="D163" s="129"/>
      <c r="E163" s="129"/>
      <c r="F163" s="129"/>
      <c r="G163" s="129"/>
      <c r="H163" s="130"/>
      <c r="I163" s="131"/>
      <c r="J163" s="131"/>
      <c r="K163" s="131"/>
      <c r="L163" s="131"/>
      <c r="M163" s="131"/>
      <c r="N163" s="131"/>
      <c r="O163" s="131"/>
      <c r="P163" s="131"/>
      <c r="Q163" s="131"/>
      <c r="R163" s="131"/>
      <c r="S163" s="131"/>
      <c r="T163" s="131"/>
      <c r="U163" s="131"/>
    </row>
    <row r="164" spans="2:21">
      <c r="B164" s="129"/>
      <c r="C164" s="129"/>
      <c r="D164" s="129"/>
      <c r="E164" s="129"/>
      <c r="F164" s="129"/>
      <c r="G164" s="129"/>
      <c r="H164" s="130"/>
      <c r="I164" s="131"/>
      <c r="J164" s="131"/>
      <c r="K164" s="131"/>
      <c r="L164" s="131"/>
      <c r="M164" s="131"/>
      <c r="N164" s="131"/>
      <c r="O164" s="131"/>
      <c r="P164" s="131"/>
      <c r="Q164" s="131"/>
      <c r="R164" s="131"/>
      <c r="S164" s="131"/>
      <c r="T164" s="131"/>
      <c r="U164" s="131"/>
    </row>
    <row r="165" spans="2:21">
      <c r="B165" s="129"/>
      <c r="C165" s="129"/>
      <c r="D165" s="129"/>
      <c r="E165" s="129"/>
      <c r="F165" s="129"/>
      <c r="G165" s="129"/>
      <c r="H165" s="130"/>
      <c r="I165" s="131"/>
      <c r="J165" s="131"/>
      <c r="K165" s="131"/>
      <c r="L165" s="131"/>
      <c r="M165" s="131"/>
      <c r="N165" s="131"/>
      <c r="O165" s="131"/>
      <c r="P165" s="131"/>
      <c r="Q165" s="131"/>
      <c r="R165" s="131"/>
      <c r="S165" s="131"/>
      <c r="T165" s="131"/>
      <c r="U165" s="131"/>
    </row>
    <row r="166" spans="2:21">
      <c r="B166" s="129"/>
      <c r="C166" s="129"/>
      <c r="D166" s="129"/>
      <c r="E166" s="129"/>
      <c r="F166" s="129"/>
      <c r="G166" s="129"/>
      <c r="H166" s="130"/>
      <c r="I166" s="131"/>
      <c r="J166" s="131"/>
      <c r="K166" s="131"/>
      <c r="L166" s="131"/>
      <c r="M166" s="131"/>
      <c r="N166" s="131"/>
      <c r="O166" s="131"/>
      <c r="P166" s="131"/>
      <c r="Q166" s="131"/>
      <c r="R166" s="131"/>
      <c r="S166" s="131"/>
      <c r="T166" s="131"/>
      <c r="U166" s="131"/>
    </row>
    <row r="167" spans="2:21">
      <c r="B167" s="129"/>
      <c r="C167" s="129"/>
      <c r="D167" s="129"/>
      <c r="E167" s="129"/>
      <c r="F167" s="129"/>
      <c r="G167" s="129"/>
      <c r="H167" s="130"/>
      <c r="I167" s="131"/>
      <c r="J167" s="131"/>
      <c r="K167" s="131"/>
      <c r="L167" s="131"/>
      <c r="M167" s="131"/>
      <c r="N167" s="131"/>
      <c r="O167" s="131"/>
      <c r="P167" s="131"/>
      <c r="Q167" s="131"/>
      <c r="R167" s="131"/>
      <c r="S167" s="131"/>
      <c r="T167" s="131"/>
      <c r="U167" s="131"/>
    </row>
    <row r="168" spans="2:21">
      <c r="B168" s="129"/>
      <c r="C168" s="129"/>
      <c r="D168" s="129"/>
      <c r="E168" s="129"/>
      <c r="F168" s="129"/>
      <c r="G168" s="129"/>
      <c r="H168" s="130"/>
      <c r="I168" s="131"/>
      <c r="J168" s="131"/>
      <c r="K168" s="131"/>
      <c r="L168" s="131"/>
      <c r="M168" s="131"/>
      <c r="N168" s="131"/>
      <c r="O168" s="131"/>
      <c r="P168" s="131"/>
      <c r="Q168" s="131"/>
      <c r="R168" s="131"/>
      <c r="S168" s="131"/>
      <c r="T168" s="131"/>
      <c r="U168" s="131"/>
    </row>
    <row r="169" spans="2:21">
      <c r="B169" s="129"/>
      <c r="C169" s="129"/>
      <c r="D169" s="129"/>
      <c r="E169" s="129"/>
      <c r="F169" s="129"/>
      <c r="G169" s="129"/>
      <c r="H169" s="130"/>
      <c r="I169" s="131"/>
      <c r="J169" s="131"/>
      <c r="K169" s="131"/>
      <c r="L169" s="131"/>
      <c r="M169" s="131"/>
      <c r="N169" s="131"/>
      <c r="O169" s="131"/>
      <c r="P169" s="131"/>
      <c r="Q169" s="131"/>
      <c r="R169" s="131"/>
      <c r="S169" s="131"/>
      <c r="T169" s="131"/>
      <c r="U169" s="131"/>
    </row>
    <row r="170" spans="2:21">
      <c r="B170" s="129"/>
      <c r="C170" s="129"/>
      <c r="D170" s="129"/>
      <c r="E170" s="129"/>
      <c r="F170" s="129"/>
      <c r="G170" s="129"/>
      <c r="H170" s="130"/>
      <c r="I170" s="131"/>
      <c r="J170" s="131"/>
      <c r="K170" s="131"/>
      <c r="L170" s="131"/>
      <c r="M170" s="131"/>
      <c r="N170" s="131"/>
      <c r="O170" s="131"/>
      <c r="P170" s="131"/>
      <c r="Q170" s="131"/>
      <c r="R170" s="131"/>
      <c r="S170" s="131"/>
      <c r="T170" s="131"/>
      <c r="U170" s="131"/>
    </row>
    <row r="171" spans="2:21">
      <c r="B171" s="129"/>
      <c r="C171" s="129"/>
      <c r="D171" s="129"/>
      <c r="E171" s="129"/>
      <c r="F171" s="129"/>
      <c r="G171" s="129"/>
      <c r="H171" s="130"/>
      <c r="I171" s="131"/>
      <c r="J171" s="131"/>
      <c r="K171" s="131"/>
      <c r="L171" s="131"/>
      <c r="M171" s="131"/>
      <c r="N171" s="131"/>
      <c r="O171" s="131"/>
      <c r="P171" s="131"/>
      <c r="Q171" s="131"/>
      <c r="R171" s="131"/>
      <c r="S171" s="131"/>
      <c r="T171" s="131"/>
      <c r="U171" s="131"/>
    </row>
    <row r="172" spans="2:21">
      <c r="B172" s="129"/>
      <c r="C172" s="129"/>
      <c r="D172" s="129"/>
      <c r="E172" s="129"/>
      <c r="F172" s="129"/>
      <c r="G172" s="129"/>
      <c r="H172" s="130"/>
      <c r="I172" s="131"/>
      <c r="J172" s="131"/>
      <c r="K172" s="131"/>
      <c r="L172" s="131"/>
      <c r="M172" s="131"/>
      <c r="N172" s="131"/>
      <c r="O172" s="131"/>
      <c r="P172" s="131"/>
      <c r="Q172" s="131"/>
      <c r="R172" s="131"/>
      <c r="S172" s="131"/>
      <c r="T172" s="131"/>
      <c r="U172" s="131"/>
    </row>
    <row r="173" spans="2:21">
      <c r="B173" s="129"/>
      <c r="C173" s="129"/>
      <c r="D173" s="129"/>
      <c r="E173" s="129"/>
      <c r="F173" s="129"/>
      <c r="G173" s="129"/>
      <c r="H173" s="130"/>
      <c r="I173" s="131"/>
      <c r="J173" s="131"/>
      <c r="K173" s="131"/>
      <c r="L173" s="131"/>
      <c r="M173" s="131"/>
      <c r="N173" s="131"/>
      <c r="O173" s="131"/>
      <c r="P173" s="131"/>
      <c r="Q173" s="131"/>
      <c r="R173" s="131"/>
      <c r="S173" s="131"/>
      <c r="T173" s="131"/>
      <c r="U173" s="131"/>
    </row>
    <row r="174" spans="2:21">
      <c r="B174" s="129"/>
      <c r="C174" s="129"/>
      <c r="D174" s="129"/>
      <c r="E174" s="129"/>
      <c r="F174" s="129"/>
      <c r="G174" s="129"/>
      <c r="H174" s="130"/>
      <c r="I174" s="131"/>
      <c r="J174" s="131"/>
      <c r="K174" s="131"/>
      <c r="L174" s="131"/>
      <c r="M174" s="131"/>
      <c r="N174" s="131"/>
      <c r="O174" s="131"/>
      <c r="P174" s="131"/>
      <c r="Q174" s="131"/>
      <c r="R174" s="131"/>
      <c r="S174" s="131"/>
      <c r="T174" s="131"/>
      <c r="U174" s="131"/>
    </row>
    <row r="175" spans="2:21">
      <c r="B175" s="129"/>
      <c r="C175" s="129"/>
      <c r="D175" s="129"/>
      <c r="E175" s="129"/>
      <c r="F175" s="129"/>
      <c r="G175" s="129"/>
      <c r="H175" s="130"/>
      <c r="I175" s="131"/>
      <c r="J175" s="131"/>
      <c r="K175" s="131"/>
      <c r="L175" s="131"/>
      <c r="M175" s="131"/>
      <c r="N175" s="131"/>
      <c r="O175" s="131"/>
      <c r="P175" s="131"/>
      <c r="Q175" s="131"/>
      <c r="R175" s="131"/>
      <c r="S175" s="131"/>
      <c r="T175" s="131"/>
      <c r="U175" s="131"/>
    </row>
    <row r="176" spans="2:21">
      <c r="B176" s="129"/>
      <c r="C176" s="129"/>
      <c r="D176" s="129"/>
      <c r="E176" s="129"/>
      <c r="F176" s="129"/>
      <c r="G176" s="129"/>
      <c r="H176" s="130"/>
      <c r="I176" s="131"/>
      <c r="J176" s="131"/>
      <c r="K176" s="131"/>
      <c r="L176" s="131"/>
      <c r="M176" s="131"/>
      <c r="N176" s="131"/>
      <c r="O176" s="131"/>
      <c r="P176" s="131"/>
      <c r="Q176" s="131"/>
      <c r="R176" s="131"/>
      <c r="S176" s="131"/>
      <c r="T176" s="131"/>
      <c r="U176" s="131"/>
    </row>
    <row r="177" spans="2:21">
      <c r="B177" s="129"/>
      <c r="C177" s="129"/>
      <c r="D177" s="129"/>
      <c r="E177" s="129"/>
      <c r="F177" s="129"/>
      <c r="G177" s="129"/>
      <c r="H177" s="130"/>
      <c r="I177" s="131"/>
      <c r="J177" s="131"/>
      <c r="K177" s="131"/>
      <c r="L177" s="131"/>
      <c r="M177" s="131"/>
      <c r="N177" s="131"/>
      <c r="O177" s="131"/>
      <c r="P177" s="131"/>
      <c r="Q177" s="131"/>
      <c r="R177" s="131"/>
      <c r="S177" s="131"/>
      <c r="T177" s="131"/>
      <c r="U177" s="131"/>
    </row>
    <row r="178" spans="2:21">
      <c r="B178" s="129"/>
      <c r="C178" s="129"/>
      <c r="D178" s="129"/>
      <c r="E178" s="129"/>
      <c r="F178" s="129"/>
      <c r="G178" s="129"/>
      <c r="H178" s="130"/>
      <c r="I178" s="131"/>
      <c r="J178" s="131"/>
      <c r="K178" s="131"/>
      <c r="L178" s="131"/>
      <c r="M178" s="131"/>
      <c r="N178" s="131"/>
      <c r="O178" s="131"/>
      <c r="P178" s="131"/>
      <c r="Q178" s="131"/>
      <c r="R178" s="131"/>
      <c r="S178" s="131"/>
      <c r="T178" s="131"/>
      <c r="U178" s="131"/>
    </row>
    <row r="179" spans="2:21">
      <c r="B179" s="129"/>
      <c r="C179" s="129"/>
      <c r="D179" s="129"/>
      <c r="E179" s="129"/>
      <c r="F179" s="129"/>
      <c r="G179" s="129"/>
      <c r="H179" s="130"/>
      <c r="I179" s="131"/>
      <c r="J179" s="131"/>
      <c r="K179" s="131"/>
      <c r="L179" s="131"/>
      <c r="M179" s="131"/>
      <c r="N179" s="131"/>
      <c r="O179" s="131"/>
      <c r="P179" s="131"/>
      <c r="Q179" s="131"/>
      <c r="R179" s="131"/>
      <c r="S179" s="131"/>
      <c r="T179" s="131"/>
      <c r="U179" s="131"/>
    </row>
    <row r="180" spans="2:21">
      <c r="B180" s="129"/>
      <c r="C180" s="129"/>
      <c r="D180" s="129"/>
      <c r="E180" s="129"/>
      <c r="F180" s="129"/>
      <c r="G180" s="129"/>
      <c r="H180" s="130"/>
      <c r="I180" s="131"/>
      <c r="J180" s="131"/>
      <c r="K180" s="131"/>
      <c r="L180" s="131"/>
      <c r="M180" s="131"/>
      <c r="N180" s="131"/>
      <c r="O180" s="131"/>
      <c r="P180" s="131"/>
      <c r="Q180" s="131"/>
      <c r="R180" s="131"/>
      <c r="S180" s="131"/>
      <c r="T180" s="131"/>
      <c r="U180" s="131"/>
    </row>
    <row r="181" spans="2:21">
      <c r="B181" s="129"/>
      <c r="C181" s="129"/>
      <c r="D181" s="129"/>
      <c r="E181" s="129"/>
      <c r="F181" s="129"/>
      <c r="G181" s="129"/>
      <c r="H181" s="130"/>
      <c r="I181" s="131"/>
      <c r="J181" s="131"/>
      <c r="K181" s="131"/>
      <c r="L181" s="131"/>
      <c r="M181" s="131"/>
      <c r="N181" s="131"/>
      <c r="O181" s="131"/>
      <c r="P181" s="131"/>
      <c r="Q181" s="131"/>
      <c r="R181" s="131"/>
      <c r="S181" s="131"/>
      <c r="T181" s="131"/>
      <c r="U181" s="131"/>
    </row>
    <row r="182" spans="2:21">
      <c r="B182" s="129"/>
      <c r="C182" s="129"/>
      <c r="D182" s="129"/>
      <c r="E182" s="129"/>
      <c r="F182" s="129"/>
      <c r="G182" s="129"/>
      <c r="H182" s="130"/>
      <c r="I182" s="131"/>
      <c r="J182" s="131"/>
      <c r="K182" s="131"/>
      <c r="L182" s="131"/>
      <c r="M182" s="131"/>
      <c r="N182" s="131"/>
      <c r="O182" s="131"/>
      <c r="P182" s="131"/>
      <c r="Q182" s="131"/>
      <c r="R182" s="131"/>
      <c r="S182" s="131"/>
      <c r="T182" s="131"/>
      <c r="U182" s="131"/>
    </row>
    <row r="183" spans="2:21">
      <c r="B183" s="129"/>
      <c r="C183" s="129"/>
      <c r="D183" s="129"/>
      <c r="E183" s="129"/>
      <c r="F183" s="129"/>
      <c r="G183" s="129"/>
      <c r="H183" s="130"/>
      <c r="I183" s="131"/>
      <c r="J183" s="131"/>
      <c r="K183" s="131"/>
      <c r="L183" s="131"/>
      <c r="M183" s="131"/>
      <c r="N183" s="131"/>
      <c r="O183" s="131"/>
      <c r="P183" s="131"/>
      <c r="Q183" s="131"/>
      <c r="R183" s="131"/>
      <c r="S183" s="131"/>
      <c r="T183" s="131"/>
      <c r="U183" s="131"/>
    </row>
    <row r="184" spans="2:21">
      <c r="B184" s="129"/>
      <c r="C184" s="129"/>
      <c r="D184" s="129"/>
      <c r="E184" s="129"/>
      <c r="F184" s="129"/>
      <c r="G184" s="129"/>
      <c r="H184" s="130"/>
      <c r="I184" s="131"/>
      <c r="J184" s="131"/>
      <c r="K184" s="131"/>
      <c r="L184" s="131"/>
      <c r="M184" s="131"/>
      <c r="N184" s="131"/>
      <c r="O184" s="131"/>
      <c r="P184" s="131"/>
      <c r="Q184" s="131"/>
      <c r="R184" s="131"/>
      <c r="S184" s="131"/>
      <c r="T184" s="131"/>
      <c r="U184" s="131"/>
    </row>
    <row r="185" spans="2:21">
      <c r="B185" s="129"/>
      <c r="C185" s="129"/>
      <c r="D185" s="129"/>
      <c r="E185" s="129"/>
      <c r="F185" s="129"/>
      <c r="G185" s="129"/>
      <c r="H185" s="130"/>
      <c r="I185" s="131"/>
      <c r="J185" s="131"/>
      <c r="K185" s="131"/>
      <c r="L185" s="131"/>
      <c r="M185" s="131"/>
      <c r="N185" s="131"/>
      <c r="O185" s="131"/>
      <c r="P185" s="131"/>
      <c r="Q185" s="131"/>
      <c r="R185" s="131"/>
      <c r="S185" s="131"/>
      <c r="T185" s="131"/>
      <c r="U185" s="131"/>
    </row>
    <row r="186" spans="2:21">
      <c r="B186" s="129"/>
      <c r="C186" s="129"/>
      <c r="D186" s="129"/>
      <c r="E186" s="129"/>
      <c r="F186" s="129"/>
      <c r="G186" s="129"/>
      <c r="H186" s="130"/>
      <c r="I186" s="131"/>
      <c r="J186" s="131"/>
      <c r="K186" s="131"/>
      <c r="L186" s="131"/>
      <c r="M186" s="131"/>
      <c r="N186" s="131"/>
      <c r="O186" s="131"/>
      <c r="P186" s="131"/>
      <c r="Q186" s="131"/>
      <c r="R186" s="131"/>
      <c r="S186" s="131"/>
      <c r="T186" s="131"/>
      <c r="U186" s="131"/>
    </row>
    <row r="187" spans="2:21">
      <c r="B187" s="129"/>
      <c r="C187" s="129"/>
      <c r="D187" s="129"/>
      <c r="E187" s="129"/>
      <c r="F187" s="129"/>
      <c r="G187" s="129"/>
      <c r="H187" s="130"/>
      <c r="I187" s="131"/>
      <c r="J187" s="131"/>
      <c r="K187" s="131"/>
      <c r="L187" s="131"/>
      <c r="M187" s="131"/>
      <c r="N187" s="131"/>
      <c r="O187" s="131"/>
      <c r="P187" s="131"/>
      <c r="Q187" s="131"/>
      <c r="R187" s="131"/>
      <c r="S187" s="131"/>
      <c r="T187" s="131"/>
      <c r="U187" s="131"/>
    </row>
    <row r="188" spans="2:21">
      <c r="B188" s="129"/>
      <c r="C188" s="129"/>
      <c r="D188" s="129"/>
      <c r="E188" s="129"/>
      <c r="F188" s="129"/>
      <c r="G188" s="129"/>
      <c r="H188" s="130"/>
      <c r="I188" s="131"/>
      <c r="J188" s="131"/>
      <c r="K188" s="131"/>
      <c r="L188" s="131"/>
      <c r="M188" s="131"/>
      <c r="N188" s="131"/>
      <c r="O188" s="131"/>
      <c r="P188" s="131"/>
      <c r="Q188" s="131"/>
      <c r="R188" s="131"/>
      <c r="S188" s="131"/>
      <c r="T188" s="131"/>
      <c r="U188" s="131"/>
    </row>
    <row r="189" spans="2:21">
      <c r="B189" s="129"/>
      <c r="C189" s="129"/>
      <c r="D189" s="129"/>
      <c r="E189" s="129"/>
      <c r="F189" s="129"/>
      <c r="G189" s="129"/>
      <c r="H189" s="130"/>
      <c r="I189" s="131"/>
      <c r="J189" s="131"/>
      <c r="K189" s="131"/>
      <c r="L189" s="131"/>
      <c r="M189" s="131"/>
      <c r="N189" s="131"/>
      <c r="O189" s="131"/>
      <c r="P189" s="131"/>
      <c r="Q189" s="131"/>
      <c r="R189" s="131"/>
      <c r="S189" s="131"/>
      <c r="T189" s="131"/>
      <c r="U189" s="131"/>
    </row>
    <row r="190" spans="2:21">
      <c r="B190" s="129"/>
      <c r="C190" s="129"/>
      <c r="D190" s="129"/>
      <c r="E190" s="129"/>
      <c r="F190" s="129"/>
      <c r="G190" s="129"/>
      <c r="H190" s="130"/>
      <c r="I190" s="131"/>
      <c r="J190" s="131"/>
      <c r="K190" s="131"/>
      <c r="L190" s="131"/>
      <c r="M190" s="131"/>
      <c r="N190" s="131"/>
      <c r="O190" s="131"/>
      <c r="P190" s="131"/>
      <c r="Q190" s="131"/>
      <c r="R190" s="131"/>
      <c r="S190" s="131"/>
      <c r="T190" s="131"/>
      <c r="U190" s="131"/>
    </row>
    <row r="191" spans="2:21">
      <c r="B191" s="129"/>
      <c r="C191" s="129"/>
      <c r="D191" s="129"/>
      <c r="E191" s="129"/>
      <c r="F191" s="129"/>
      <c r="G191" s="129"/>
      <c r="H191" s="130"/>
      <c r="I191" s="131"/>
      <c r="J191" s="131"/>
      <c r="K191" s="131"/>
      <c r="L191" s="131"/>
      <c r="M191" s="131"/>
      <c r="N191" s="131"/>
      <c r="O191" s="131"/>
      <c r="P191" s="131"/>
      <c r="Q191" s="131"/>
      <c r="R191" s="131"/>
      <c r="S191" s="131"/>
      <c r="T191" s="131"/>
      <c r="U191" s="131"/>
    </row>
    <row r="192" spans="2:21">
      <c r="B192" s="129"/>
      <c r="C192" s="129"/>
      <c r="D192" s="129"/>
      <c r="E192" s="129"/>
      <c r="F192" s="129"/>
      <c r="G192" s="129"/>
      <c r="H192" s="130"/>
      <c r="I192" s="131"/>
      <c r="J192" s="131"/>
      <c r="K192" s="131"/>
      <c r="L192" s="131"/>
      <c r="M192" s="131"/>
      <c r="N192" s="131"/>
      <c r="O192" s="131"/>
      <c r="P192" s="131"/>
      <c r="Q192" s="131"/>
      <c r="R192" s="131"/>
      <c r="S192" s="131"/>
      <c r="T192" s="131"/>
      <c r="U192" s="131"/>
    </row>
    <row r="193" spans="2:21">
      <c r="B193" s="129"/>
      <c r="C193" s="129"/>
      <c r="D193" s="129"/>
      <c r="E193" s="129"/>
      <c r="F193" s="129"/>
      <c r="G193" s="129"/>
      <c r="H193" s="130"/>
      <c r="I193" s="131"/>
      <c r="J193" s="131"/>
      <c r="K193" s="131"/>
      <c r="L193" s="131"/>
      <c r="M193" s="131"/>
      <c r="N193" s="131"/>
      <c r="O193" s="131"/>
      <c r="P193" s="131"/>
      <c r="Q193" s="131"/>
      <c r="R193" s="131"/>
      <c r="S193" s="131"/>
      <c r="T193" s="131"/>
      <c r="U193" s="131"/>
    </row>
    <row r="194" spans="2:21">
      <c r="B194" s="129"/>
      <c r="C194" s="129"/>
      <c r="D194" s="129"/>
      <c r="E194" s="129"/>
      <c r="F194" s="129"/>
      <c r="G194" s="129"/>
      <c r="H194" s="130"/>
      <c r="I194" s="131"/>
      <c r="J194" s="131"/>
      <c r="K194" s="131"/>
      <c r="L194" s="131"/>
      <c r="M194" s="131"/>
      <c r="N194" s="131"/>
      <c r="O194" s="131"/>
      <c r="P194" s="131"/>
      <c r="Q194" s="131"/>
      <c r="R194" s="131"/>
      <c r="S194" s="131"/>
      <c r="T194" s="131"/>
      <c r="U194" s="131"/>
    </row>
    <row r="195" spans="2:21">
      <c r="B195" s="129"/>
      <c r="C195" s="129"/>
      <c r="D195" s="129"/>
      <c r="E195" s="129"/>
      <c r="F195" s="129"/>
      <c r="G195" s="129"/>
      <c r="H195" s="130"/>
      <c r="I195" s="131"/>
      <c r="J195" s="131"/>
      <c r="K195" s="131"/>
      <c r="L195" s="131"/>
      <c r="M195" s="131"/>
      <c r="N195" s="131"/>
      <c r="O195" s="131"/>
      <c r="P195" s="131"/>
      <c r="Q195" s="131"/>
      <c r="R195" s="131"/>
      <c r="S195" s="131"/>
      <c r="T195" s="131"/>
      <c r="U195" s="131"/>
    </row>
    <row r="196" spans="2:21">
      <c r="B196" s="129"/>
      <c r="C196" s="129"/>
      <c r="D196" s="129"/>
      <c r="E196" s="129"/>
      <c r="F196" s="129"/>
      <c r="G196" s="129"/>
      <c r="H196" s="130"/>
      <c r="I196" s="131"/>
      <c r="J196" s="131"/>
      <c r="K196" s="131"/>
      <c r="L196" s="131"/>
      <c r="M196" s="131"/>
      <c r="N196" s="131"/>
      <c r="O196" s="131"/>
      <c r="P196" s="131"/>
      <c r="Q196" s="131"/>
      <c r="R196" s="131"/>
      <c r="S196" s="131"/>
      <c r="T196" s="131"/>
      <c r="U196" s="131"/>
    </row>
    <row r="197" spans="2:21">
      <c r="B197" s="129"/>
      <c r="C197" s="129"/>
      <c r="D197" s="129"/>
      <c r="E197" s="129"/>
      <c r="F197" s="129"/>
      <c r="G197" s="129"/>
      <c r="H197" s="130"/>
      <c r="I197" s="131"/>
      <c r="J197" s="131"/>
      <c r="K197" s="131"/>
      <c r="L197" s="131"/>
      <c r="M197" s="131"/>
      <c r="N197" s="131"/>
      <c r="O197" s="131"/>
      <c r="P197" s="131"/>
      <c r="Q197" s="131"/>
      <c r="R197" s="131"/>
      <c r="S197" s="131"/>
      <c r="T197" s="131"/>
      <c r="U197" s="131"/>
    </row>
    <row r="198" spans="2:21">
      <c r="B198" s="129"/>
      <c r="C198" s="129"/>
      <c r="D198" s="129"/>
      <c r="E198" s="129"/>
      <c r="F198" s="129"/>
      <c r="G198" s="129"/>
      <c r="H198" s="130"/>
      <c r="I198" s="131"/>
      <c r="J198" s="131"/>
      <c r="K198" s="131"/>
      <c r="L198" s="131"/>
      <c r="M198" s="131"/>
      <c r="N198" s="131"/>
      <c r="O198" s="131"/>
      <c r="P198" s="131"/>
      <c r="Q198" s="131"/>
      <c r="R198" s="131"/>
      <c r="S198" s="131"/>
      <c r="T198" s="131"/>
      <c r="U198" s="131"/>
    </row>
    <row r="199" spans="2:21">
      <c r="B199" s="129"/>
      <c r="C199" s="129"/>
      <c r="D199" s="129"/>
      <c r="E199" s="129"/>
      <c r="F199" s="129"/>
      <c r="G199" s="129"/>
      <c r="H199" s="130"/>
      <c r="I199" s="131"/>
      <c r="J199" s="131"/>
      <c r="K199" s="131"/>
      <c r="L199" s="131"/>
      <c r="M199" s="131"/>
      <c r="N199" s="131"/>
      <c r="O199" s="131"/>
      <c r="P199" s="131"/>
      <c r="Q199" s="131"/>
      <c r="R199" s="131"/>
      <c r="S199" s="131"/>
      <c r="T199" s="131"/>
      <c r="U199" s="131"/>
    </row>
    <row r="200" spans="2:21">
      <c r="B200" s="129"/>
      <c r="C200" s="129"/>
      <c r="D200" s="129"/>
      <c r="E200" s="129"/>
      <c r="F200" s="129"/>
      <c r="G200" s="129"/>
      <c r="H200" s="130"/>
      <c r="I200" s="131"/>
      <c r="J200" s="131"/>
      <c r="K200" s="131"/>
      <c r="L200" s="131"/>
      <c r="M200" s="131"/>
      <c r="N200" s="131"/>
      <c r="O200" s="131"/>
      <c r="P200" s="131"/>
      <c r="Q200" s="131"/>
      <c r="R200" s="131"/>
      <c r="S200" s="131"/>
      <c r="T200" s="131"/>
      <c r="U200" s="131"/>
    </row>
    <row r="201" spans="2:21">
      <c r="B201" s="129"/>
      <c r="C201" s="129"/>
      <c r="D201" s="129"/>
      <c r="E201" s="129"/>
      <c r="F201" s="129"/>
      <c r="G201" s="129"/>
      <c r="H201" s="130"/>
      <c r="I201" s="131"/>
      <c r="J201" s="131"/>
      <c r="K201" s="131"/>
      <c r="L201" s="131"/>
      <c r="M201" s="131"/>
      <c r="N201" s="131"/>
      <c r="O201" s="131"/>
      <c r="P201" s="131"/>
      <c r="Q201" s="131"/>
      <c r="R201" s="131"/>
      <c r="S201" s="131"/>
      <c r="T201" s="131"/>
      <c r="U201" s="131"/>
    </row>
    <row r="202" spans="2:21">
      <c r="B202" s="129"/>
      <c r="C202" s="129"/>
      <c r="D202" s="129"/>
      <c r="E202" s="129"/>
      <c r="F202" s="129"/>
      <c r="G202" s="129"/>
      <c r="H202" s="130"/>
      <c r="I202" s="131"/>
      <c r="J202" s="131"/>
      <c r="K202" s="131"/>
      <c r="L202" s="131"/>
      <c r="M202" s="131"/>
      <c r="N202" s="131"/>
      <c r="O202" s="131"/>
      <c r="P202" s="131"/>
      <c r="Q202" s="131"/>
      <c r="R202" s="131"/>
      <c r="S202" s="131"/>
      <c r="T202" s="131"/>
      <c r="U202" s="131"/>
    </row>
    <row r="203" spans="2:21">
      <c r="B203" s="129"/>
      <c r="C203" s="129"/>
      <c r="D203" s="129"/>
      <c r="E203" s="129"/>
      <c r="F203" s="129"/>
      <c r="G203" s="129"/>
      <c r="H203" s="130"/>
      <c r="I203" s="131"/>
      <c r="J203" s="131"/>
      <c r="K203" s="131"/>
      <c r="L203" s="131"/>
      <c r="M203" s="131"/>
      <c r="N203" s="131"/>
      <c r="O203" s="131"/>
      <c r="P203" s="131"/>
      <c r="Q203" s="131"/>
      <c r="R203" s="131"/>
      <c r="S203" s="131"/>
      <c r="T203" s="131"/>
      <c r="U203" s="131"/>
    </row>
    <row r="204" spans="2:21">
      <c r="B204" s="129"/>
      <c r="C204" s="129"/>
      <c r="D204" s="129"/>
      <c r="E204" s="129"/>
      <c r="F204" s="129"/>
      <c r="G204" s="129"/>
      <c r="H204" s="130"/>
      <c r="I204" s="131"/>
      <c r="J204" s="131"/>
      <c r="K204" s="131"/>
      <c r="L204" s="131"/>
      <c r="M204" s="131"/>
      <c r="N204" s="131"/>
      <c r="O204" s="131"/>
      <c r="P204" s="131"/>
      <c r="Q204" s="131"/>
      <c r="R204" s="131"/>
      <c r="S204" s="131"/>
      <c r="T204" s="131"/>
      <c r="U204" s="131"/>
    </row>
    <row r="205" spans="2:21">
      <c r="B205" s="129"/>
      <c r="C205" s="129"/>
      <c r="D205" s="129"/>
      <c r="E205" s="129"/>
      <c r="F205" s="129"/>
      <c r="G205" s="129"/>
      <c r="H205" s="130"/>
      <c r="I205" s="131"/>
      <c r="J205" s="131"/>
      <c r="K205" s="131"/>
      <c r="L205" s="131"/>
      <c r="M205" s="131"/>
      <c r="N205" s="131"/>
      <c r="O205" s="131"/>
      <c r="P205" s="131"/>
      <c r="Q205" s="131"/>
      <c r="R205" s="131"/>
      <c r="S205" s="131"/>
      <c r="T205" s="131"/>
      <c r="U205" s="131"/>
    </row>
    <row r="206" spans="2:21">
      <c r="B206" s="129"/>
      <c r="C206" s="129"/>
      <c r="D206" s="129"/>
      <c r="E206" s="129"/>
      <c r="F206" s="129"/>
      <c r="G206" s="129"/>
      <c r="H206" s="130"/>
      <c r="I206" s="131"/>
      <c r="J206" s="131"/>
      <c r="K206" s="131"/>
      <c r="L206" s="131"/>
      <c r="M206" s="131"/>
      <c r="N206" s="131"/>
      <c r="O206" s="131"/>
      <c r="P206" s="131"/>
      <c r="Q206" s="131"/>
      <c r="R206" s="131"/>
      <c r="S206" s="131"/>
      <c r="T206" s="131"/>
      <c r="U206" s="131"/>
    </row>
    <row r="207" spans="2:21">
      <c r="B207" s="129"/>
      <c r="C207" s="129"/>
      <c r="D207" s="129"/>
      <c r="E207" s="129"/>
      <c r="F207" s="129"/>
      <c r="G207" s="129"/>
      <c r="H207" s="130"/>
      <c r="I207" s="131"/>
      <c r="J207" s="131"/>
      <c r="K207" s="131"/>
      <c r="L207" s="131"/>
      <c r="M207" s="131"/>
      <c r="N207" s="131"/>
      <c r="O207" s="131"/>
      <c r="P207" s="131"/>
      <c r="Q207" s="131"/>
      <c r="R207" s="131"/>
      <c r="S207" s="131"/>
      <c r="T207" s="131"/>
      <c r="U207" s="131"/>
    </row>
    <row r="208" spans="2:21">
      <c r="B208" s="129"/>
      <c r="C208" s="129"/>
      <c r="D208" s="129"/>
      <c r="E208" s="129"/>
      <c r="F208" s="129"/>
      <c r="G208" s="129"/>
      <c r="H208" s="130"/>
      <c r="I208" s="131"/>
      <c r="J208" s="131"/>
      <c r="K208" s="131"/>
      <c r="L208" s="131"/>
      <c r="M208" s="131"/>
      <c r="N208" s="131"/>
      <c r="O208" s="131"/>
      <c r="P208" s="131"/>
      <c r="Q208" s="131"/>
      <c r="R208" s="131"/>
      <c r="S208" s="131"/>
      <c r="T208" s="131"/>
      <c r="U208" s="131"/>
    </row>
    <row r="209" spans="2:21">
      <c r="B209" s="129"/>
      <c r="C209" s="129"/>
      <c r="D209" s="129"/>
      <c r="E209" s="129"/>
      <c r="F209" s="129"/>
      <c r="G209" s="129"/>
      <c r="H209" s="130"/>
      <c r="I209" s="131"/>
      <c r="J209" s="131"/>
      <c r="K209" s="131"/>
      <c r="L209" s="131"/>
      <c r="M209" s="131"/>
      <c r="N209" s="131"/>
      <c r="O209" s="131"/>
      <c r="P209" s="131"/>
      <c r="Q209" s="131"/>
      <c r="R209" s="131"/>
      <c r="S209" s="131"/>
      <c r="T209" s="131"/>
      <c r="U209" s="131"/>
    </row>
    <row r="210" spans="2:21">
      <c r="B210" s="129"/>
      <c r="C210" s="129"/>
      <c r="D210" s="129"/>
      <c r="E210" s="129"/>
      <c r="F210" s="129"/>
      <c r="G210" s="129"/>
      <c r="H210" s="130"/>
      <c r="I210" s="131"/>
      <c r="J210" s="131"/>
      <c r="K210" s="131"/>
      <c r="L210" s="131"/>
      <c r="M210" s="131"/>
      <c r="N210" s="131"/>
      <c r="O210" s="131"/>
      <c r="P210" s="131"/>
      <c r="Q210" s="131"/>
      <c r="R210" s="131"/>
      <c r="S210" s="131"/>
      <c r="T210" s="131"/>
      <c r="U210" s="131"/>
    </row>
    <row r="211" spans="2:21">
      <c r="B211" s="129"/>
      <c r="C211" s="129"/>
      <c r="D211" s="129"/>
      <c r="E211" s="129"/>
      <c r="F211" s="129"/>
      <c r="G211" s="129"/>
      <c r="H211" s="130"/>
      <c r="I211" s="131"/>
      <c r="J211" s="131"/>
      <c r="K211" s="131"/>
      <c r="L211" s="131"/>
      <c r="M211" s="131"/>
      <c r="N211" s="131"/>
      <c r="O211" s="131"/>
      <c r="P211" s="131"/>
      <c r="Q211" s="131"/>
      <c r="R211" s="131"/>
      <c r="S211" s="131"/>
      <c r="T211" s="131"/>
      <c r="U211" s="131"/>
    </row>
    <row r="212" spans="2:21">
      <c r="B212" s="129"/>
      <c r="C212" s="129"/>
      <c r="D212" s="129"/>
      <c r="E212" s="129"/>
      <c r="F212" s="129"/>
      <c r="G212" s="129"/>
      <c r="H212" s="130"/>
      <c r="I212" s="131"/>
      <c r="J212" s="131"/>
      <c r="K212" s="131"/>
      <c r="L212" s="131"/>
      <c r="M212" s="131"/>
      <c r="N212" s="131"/>
      <c r="O212" s="131"/>
      <c r="P212" s="131"/>
      <c r="Q212" s="131"/>
      <c r="R212" s="131"/>
      <c r="S212" s="131"/>
      <c r="T212" s="131"/>
      <c r="U212" s="131"/>
    </row>
    <row r="213" spans="2:21">
      <c r="B213" s="129"/>
      <c r="C213" s="129"/>
      <c r="D213" s="129"/>
      <c r="E213" s="129"/>
      <c r="F213" s="129"/>
      <c r="G213" s="129"/>
      <c r="H213" s="130"/>
      <c r="I213" s="131"/>
      <c r="J213" s="131"/>
      <c r="K213" s="131"/>
      <c r="L213" s="131"/>
      <c r="M213" s="131"/>
      <c r="N213" s="131"/>
      <c r="O213" s="131"/>
      <c r="P213" s="131"/>
      <c r="Q213" s="131"/>
      <c r="R213" s="131"/>
      <c r="S213" s="131"/>
      <c r="T213" s="131"/>
      <c r="U213" s="131"/>
    </row>
    <row r="214" spans="2:21">
      <c r="B214" s="129"/>
      <c r="C214" s="129"/>
      <c r="D214" s="129"/>
      <c r="E214" s="129"/>
      <c r="F214" s="129"/>
      <c r="G214" s="129"/>
      <c r="H214" s="130"/>
      <c r="I214" s="131"/>
      <c r="J214" s="131"/>
      <c r="K214" s="131"/>
      <c r="L214" s="131"/>
      <c r="M214" s="131"/>
      <c r="N214" s="131"/>
      <c r="O214" s="131"/>
      <c r="P214" s="131"/>
      <c r="Q214" s="131"/>
      <c r="R214" s="131"/>
      <c r="S214" s="131"/>
      <c r="T214" s="131"/>
      <c r="U214" s="131"/>
    </row>
    <row r="215" spans="2:21">
      <c r="B215" s="129"/>
      <c r="C215" s="129"/>
      <c r="D215" s="129"/>
      <c r="E215" s="129"/>
      <c r="F215" s="129"/>
      <c r="G215" s="129"/>
      <c r="H215" s="130"/>
      <c r="I215" s="131"/>
      <c r="J215" s="131"/>
      <c r="K215" s="131"/>
      <c r="L215" s="131"/>
      <c r="M215" s="131"/>
      <c r="N215" s="131"/>
      <c r="O215" s="131"/>
      <c r="P215" s="131"/>
      <c r="Q215" s="131"/>
      <c r="R215" s="131"/>
      <c r="S215" s="131"/>
      <c r="T215" s="131"/>
      <c r="U215" s="131"/>
    </row>
    <row r="216" spans="2:21">
      <c r="B216" s="129"/>
      <c r="C216" s="129"/>
      <c r="D216" s="129"/>
      <c r="E216" s="129"/>
      <c r="F216" s="129"/>
      <c r="G216" s="129"/>
      <c r="H216" s="130"/>
      <c r="I216" s="131"/>
      <c r="J216" s="131"/>
      <c r="K216" s="131"/>
      <c r="L216" s="131"/>
      <c r="M216" s="131"/>
      <c r="N216" s="131"/>
      <c r="O216" s="131"/>
      <c r="P216" s="131"/>
      <c r="Q216" s="131"/>
      <c r="R216" s="131"/>
      <c r="S216" s="131"/>
      <c r="T216" s="131"/>
      <c r="U216" s="131"/>
    </row>
    <row r="217" spans="2:21">
      <c r="B217" s="129"/>
      <c r="C217" s="129"/>
      <c r="D217" s="129"/>
      <c r="E217" s="129"/>
      <c r="F217" s="129"/>
      <c r="G217" s="129"/>
      <c r="H217" s="130"/>
      <c r="I217" s="131"/>
      <c r="J217" s="131"/>
      <c r="K217" s="131"/>
      <c r="L217" s="131"/>
      <c r="M217" s="131"/>
      <c r="N217" s="131"/>
      <c r="O217" s="131"/>
      <c r="P217" s="131"/>
      <c r="Q217" s="131"/>
      <c r="R217" s="131"/>
      <c r="S217" s="131"/>
      <c r="T217" s="131"/>
      <c r="U217" s="131"/>
    </row>
    <row r="218" spans="2:21">
      <c r="B218" s="129"/>
      <c r="C218" s="129"/>
      <c r="D218" s="129"/>
      <c r="E218" s="129"/>
      <c r="F218" s="129"/>
      <c r="G218" s="129"/>
      <c r="H218" s="130"/>
      <c r="I218" s="131"/>
      <c r="J218" s="131"/>
      <c r="K218" s="131"/>
      <c r="L218" s="131"/>
      <c r="M218" s="131"/>
      <c r="N218" s="131"/>
      <c r="O218" s="131"/>
      <c r="P218" s="131"/>
      <c r="Q218" s="131"/>
      <c r="R218" s="131"/>
      <c r="S218" s="131"/>
      <c r="T218" s="131"/>
      <c r="U218" s="131"/>
    </row>
    <row r="219" spans="2:21">
      <c r="B219" s="129"/>
      <c r="C219" s="129"/>
      <c r="D219" s="129"/>
      <c r="E219" s="129"/>
      <c r="F219" s="129"/>
      <c r="G219" s="129"/>
      <c r="H219" s="130"/>
      <c r="I219" s="131"/>
      <c r="J219" s="131"/>
      <c r="K219" s="131"/>
      <c r="L219" s="131"/>
      <c r="M219" s="131"/>
      <c r="N219" s="131"/>
      <c r="O219" s="131"/>
      <c r="P219" s="131"/>
      <c r="Q219" s="131"/>
      <c r="R219" s="131"/>
      <c r="S219" s="131"/>
      <c r="T219" s="131"/>
      <c r="U219" s="131"/>
    </row>
    <row r="220" spans="2:21">
      <c r="B220" s="129"/>
      <c r="C220" s="129"/>
      <c r="D220" s="129"/>
      <c r="E220" s="129"/>
      <c r="F220" s="129"/>
      <c r="G220" s="129"/>
      <c r="H220" s="130"/>
      <c r="I220" s="131"/>
      <c r="J220" s="131"/>
      <c r="K220" s="131"/>
      <c r="L220" s="131"/>
      <c r="M220" s="131"/>
      <c r="N220" s="131"/>
      <c r="O220" s="131"/>
      <c r="P220" s="131"/>
      <c r="Q220" s="131"/>
      <c r="R220" s="131"/>
      <c r="S220" s="131"/>
      <c r="T220" s="131"/>
      <c r="U220" s="131"/>
    </row>
    <row r="221" spans="2:21">
      <c r="B221" s="129"/>
      <c r="C221" s="129"/>
      <c r="D221" s="129"/>
      <c r="E221" s="129"/>
      <c r="F221" s="129"/>
      <c r="G221" s="129"/>
      <c r="H221" s="130"/>
      <c r="I221" s="131"/>
      <c r="J221" s="131"/>
      <c r="K221" s="131"/>
      <c r="L221" s="131"/>
      <c r="M221" s="131"/>
      <c r="N221" s="131"/>
      <c r="O221" s="131"/>
      <c r="P221" s="131"/>
      <c r="Q221" s="131"/>
      <c r="R221" s="131"/>
      <c r="S221" s="131"/>
      <c r="T221" s="131"/>
      <c r="U221" s="131"/>
    </row>
    <row r="222" spans="2:21">
      <c r="B222" s="129"/>
      <c r="C222" s="129"/>
      <c r="D222" s="129"/>
      <c r="E222" s="129"/>
      <c r="F222" s="129"/>
      <c r="G222" s="129"/>
      <c r="H222" s="130"/>
      <c r="I222" s="131"/>
      <c r="J222" s="131"/>
      <c r="K222" s="131"/>
      <c r="L222" s="131"/>
      <c r="M222" s="131"/>
      <c r="N222" s="131"/>
      <c r="O222" s="131"/>
      <c r="P222" s="131"/>
      <c r="Q222" s="131"/>
      <c r="R222" s="131"/>
      <c r="S222" s="131"/>
      <c r="T222" s="131"/>
      <c r="U222" s="131"/>
    </row>
    <row r="223" spans="2:21">
      <c r="B223" s="129"/>
      <c r="C223" s="129"/>
      <c r="D223" s="129"/>
      <c r="E223" s="129"/>
      <c r="F223" s="129"/>
      <c r="G223" s="129"/>
      <c r="H223" s="130"/>
      <c r="I223" s="131"/>
      <c r="J223" s="131"/>
      <c r="K223" s="131"/>
      <c r="L223" s="131"/>
      <c r="M223" s="131"/>
      <c r="N223" s="131"/>
      <c r="O223" s="131"/>
      <c r="P223" s="131"/>
      <c r="Q223" s="131"/>
      <c r="R223" s="131"/>
      <c r="S223" s="131"/>
      <c r="T223" s="131"/>
      <c r="U223" s="131"/>
    </row>
    <row r="224" spans="2:21">
      <c r="B224" s="129"/>
      <c r="C224" s="129"/>
      <c r="D224" s="129"/>
      <c r="E224" s="129"/>
      <c r="F224" s="129"/>
      <c r="G224" s="129"/>
      <c r="H224" s="130"/>
      <c r="I224" s="131"/>
      <c r="J224" s="131"/>
      <c r="K224" s="131"/>
      <c r="L224" s="131"/>
      <c r="M224" s="131"/>
      <c r="N224" s="131"/>
      <c r="O224" s="131"/>
      <c r="P224" s="131"/>
      <c r="Q224" s="131"/>
      <c r="R224" s="131"/>
      <c r="S224" s="131"/>
      <c r="T224" s="131"/>
      <c r="U224" s="131"/>
    </row>
    <row r="225" spans="2:21">
      <c r="B225" s="129"/>
      <c r="C225" s="129"/>
      <c r="D225" s="129"/>
      <c r="E225" s="129"/>
      <c r="F225" s="129"/>
      <c r="G225" s="129"/>
      <c r="H225" s="130"/>
      <c r="I225" s="131"/>
      <c r="J225" s="131"/>
      <c r="K225" s="131"/>
      <c r="L225" s="131"/>
      <c r="M225" s="131"/>
      <c r="N225" s="131"/>
      <c r="O225" s="131"/>
      <c r="P225" s="131"/>
      <c r="Q225" s="131"/>
      <c r="R225" s="131"/>
      <c r="S225" s="131"/>
      <c r="T225" s="131"/>
      <c r="U225" s="131"/>
    </row>
    <row r="226" spans="2:21">
      <c r="B226" s="129"/>
      <c r="C226" s="129"/>
      <c r="D226" s="129"/>
      <c r="E226" s="129"/>
      <c r="F226" s="129"/>
      <c r="G226" s="129"/>
      <c r="H226" s="130"/>
      <c r="I226" s="131"/>
      <c r="J226" s="131"/>
      <c r="K226" s="131"/>
      <c r="L226" s="131"/>
      <c r="M226" s="131"/>
      <c r="N226" s="131"/>
      <c r="O226" s="131"/>
      <c r="P226" s="131"/>
      <c r="Q226" s="131"/>
      <c r="R226" s="131"/>
      <c r="S226" s="131"/>
      <c r="T226" s="131"/>
      <c r="U226" s="131"/>
    </row>
    <row r="227" spans="2:21">
      <c r="B227" s="129"/>
      <c r="C227" s="129"/>
      <c r="D227" s="129"/>
      <c r="E227" s="129"/>
      <c r="F227" s="129"/>
      <c r="G227" s="129"/>
      <c r="H227" s="130"/>
      <c r="I227" s="131"/>
      <c r="J227" s="131"/>
      <c r="K227" s="131"/>
      <c r="L227" s="131"/>
      <c r="M227" s="131"/>
      <c r="N227" s="131"/>
      <c r="O227" s="131"/>
      <c r="P227" s="131"/>
      <c r="Q227" s="131"/>
      <c r="R227" s="131"/>
      <c r="S227" s="131"/>
      <c r="T227" s="131"/>
      <c r="U227" s="131"/>
    </row>
    <row r="228" spans="2:21">
      <c r="B228" s="129"/>
      <c r="C228" s="129"/>
      <c r="D228" s="129"/>
      <c r="E228" s="129"/>
      <c r="F228" s="129"/>
      <c r="G228" s="129"/>
      <c r="H228" s="130"/>
      <c r="I228" s="131"/>
      <c r="J228" s="131"/>
      <c r="K228" s="131"/>
      <c r="L228" s="131"/>
      <c r="M228" s="131"/>
      <c r="N228" s="131"/>
      <c r="O228" s="131"/>
      <c r="P228" s="131"/>
      <c r="Q228" s="131"/>
      <c r="R228" s="131"/>
      <c r="S228" s="131"/>
      <c r="T228" s="131"/>
      <c r="U228" s="131"/>
    </row>
    <row r="229" spans="2:21">
      <c r="B229" s="129"/>
      <c r="C229" s="129"/>
      <c r="D229" s="129"/>
      <c r="E229" s="129"/>
      <c r="F229" s="129"/>
      <c r="G229" s="129"/>
      <c r="H229" s="130"/>
      <c r="I229" s="131"/>
      <c r="J229" s="131"/>
      <c r="K229" s="131"/>
      <c r="L229" s="131"/>
      <c r="M229" s="131"/>
      <c r="N229" s="131"/>
      <c r="O229" s="131"/>
      <c r="P229" s="131"/>
      <c r="Q229" s="131"/>
      <c r="R229" s="131"/>
      <c r="S229" s="131"/>
      <c r="T229" s="131"/>
      <c r="U229" s="131"/>
    </row>
    <row r="230" spans="2:21">
      <c r="B230" s="129"/>
      <c r="C230" s="129"/>
      <c r="D230" s="129"/>
      <c r="E230" s="129"/>
      <c r="F230" s="129"/>
      <c r="G230" s="129"/>
      <c r="H230" s="130"/>
      <c r="I230" s="131"/>
      <c r="J230" s="131"/>
      <c r="K230" s="131"/>
      <c r="L230" s="131"/>
      <c r="M230" s="131"/>
      <c r="N230" s="131"/>
      <c r="O230" s="131"/>
      <c r="P230" s="131"/>
      <c r="Q230" s="131"/>
      <c r="R230" s="131"/>
      <c r="S230" s="131"/>
      <c r="T230" s="131"/>
      <c r="U230" s="131"/>
    </row>
    <row r="231" spans="2:21">
      <c r="B231" s="129"/>
      <c r="C231" s="129"/>
      <c r="D231" s="129"/>
      <c r="E231" s="129"/>
      <c r="F231" s="129"/>
      <c r="G231" s="129"/>
      <c r="H231" s="130"/>
      <c r="I231" s="131"/>
      <c r="J231" s="131"/>
      <c r="K231" s="131"/>
      <c r="L231" s="131"/>
      <c r="M231" s="131"/>
      <c r="N231" s="131"/>
      <c r="O231" s="131"/>
      <c r="P231" s="131"/>
      <c r="Q231" s="131"/>
      <c r="R231" s="131"/>
      <c r="S231" s="131"/>
      <c r="T231" s="131"/>
      <c r="U231" s="131"/>
    </row>
    <row r="232" spans="2:21">
      <c r="B232" s="129"/>
      <c r="C232" s="129"/>
      <c r="D232" s="129"/>
      <c r="E232" s="129"/>
      <c r="F232" s="129"/>
      <c r="G232" s="129"/>
      <c r="H232" s="130"/>
      <c r="I232" s="131"/>
      <c r="J232" s="131"/>
      <c r="K232" s="131"/>
      <c r="L232" s="131"/>
      <c r="M232" s="131"/>
      <c r="N232" s="131"/>
      <c r="O232" s="131"/>
      <c r="P232" s="131"/>
      <c r="Q232" s="131"/>
      <c r="R232" s="131"/>
      <c r="S232" s="131"/>
      <c r="T232" s="131"/>
      <c r="U232" s="131"/>
    </row>
    <row r="233" spans="2:21">
      <c r="B233" s="129"/>
      <c r="C233" s="129"/>
      <c r="D233" s="129"/>
      <c r="E233" s="129"/>
      <c r="F233" s="129"/>
      <c r="G233" s="129"/>
      <c r="H233" s="130"/>
      <c r="I233" s="131"/>
      <c r="J233" s="131"/>
      <c r="K233" s="131"/>
      <c r="L233" s="131"/>
      <c r="M233" s="131"/>
      <c r="N233" s="131"/>
      <c r="O233" s="131"/>
      <c r="P233" s="131"/>
      <c r="Q233" s="131"/>
      <c r="R233" s="131"/>
      <c r="S233" s="131"/>
      <c r="T233" s="131"/>
      <c r="U233" s="131"/>
    </row>
    <row r="234" spans="2:21">
      <c r="B234" s="129"/>
      <c r="C234" s="129"/>
      <c r="D234" s="129"/>
      <c r="E234" s="129"/>
      <c r="F234" s="129"/>
      <c r="G234" s="129"/>
      <c r="H234" s="130"/>
      <c r="I234" s="131"/>
      <c r="J234" s="131"/>
      <c r="K234" s="131"/>
      <c r="L234" s="131"/>
      <c r="M234" s="131"/>
      <c r="N234" s="131"/>
      <c r="O234" s="131"/>
      <c r="P234" s="131"/>
      <c r="Q234" s="131"/>
      <c r="R234" s="131"/>
      <c r="S234" s="131"/>
      <c r="T234" s="131"/>
      <c r="U234" s="131"/>
    </row>
    <row r="235" spans="2:21">
      <c r="B235" s="129"/>
      <c r="C235" s="129"/>
      <c r="D235" s="129"/>
      <c r="E235" s="129"/>
      <c r="F235" s="129"/>
      <c r="G235" s="129"/>
      <c r="H235" s="130"/>
      <c r="I235" s="131"/>
      <c r="J235" s="131"/>
      <c r="K235" s="131"/>
      <c r="L235" s="131"/>
      <c r="M235" s="131"/>
      <c r="N235" s="131"/>
      <c r="O235" s="131"/>
      <c r="P235" s="131"/>
      <c r="Q235" s="131"/>
      <c r="R235" s="131"/>
      <c r="S235" s="131"/>
      <c r="T235" s="131"/>
      <c r="U235" s="131"/>
    </row>
    <row r="236" spans="2:21">
      <c r="B236" s="129"/>
      <c r="C236" s="129"/>
      <c r="D236" s="129"/>
      <c r="E236" s="129"/>
      <c r="F236" s="129"/>
      <c r="G236" s="129"/>
      <c r="H236" s="130"/>
      <c r="I236" s="131"/>
      <c r="J236" s="131"/>
      <c r="K236" s="131"/>
      <c r="L236" s="131"/>
      <c r="M236" s="131"/>
      <c r="N236" s="131"/>
      <c r="O236" s="131"/>
      <c r="P236" s="131"/>
      <c r="Q236" s="131"/>
      <c r="R236" s="131"/>
      <c r="S236" s="131"/>
      <c r="T236" s="131"/>
      <c r="U236" s="131"/>
    </row>
    <row r="237" spans="2:21">
      <c r="B237" s="129"/>
      <c r="C237" s="129"/>
      <c r="D237" s="129"/>
      <c r="E237" s="129"/>
      <c r="F237" s="129"/>
      <c r="G237" s="129"/>
      <c r="H237" s="130"/>
      <c r="I237" s="131"/>
      <c r="J237" s="131"/>
      <c r="K237" s="131"/>
      <c r="L237" s="131"/>
      <c r="M237" s="131"/>
      <c r="N237" s="131"/>
      <c r="O237" s="131"/>
      <c r="P237" s="131"/>
      <c r="Q237" s="131"/>
      <c r="R237" s="131"/>
      <c r="S237" s="131"/>
      <c r="T237" s="131"/>
      <c r="U237" s="131"/>
    </row>
    <row r="238" spans="2:21">
      <c r="B238" s="129"/>
      <c r="C238" s="129"/>
      <c r="D238" s="129"/>
      <c r="E238" s="129"/>
      <c r="F238" s="129"/>
      <c r="G238" s="129"/>
      <c r="H238" s="130"/>
      <c r="I238" s="131"/>
      <c r="J238" s="131"/>
      <c r="K238" s="131"/>
      <c r="L238" s="131"/>
      <c r="M238" s="131"/>
      <c r="N238" s="131"/>
      <c r="O238" s="131"/>
      <c r="P238" s="131"/>
      <c r="Q238" s="131"/>
      <c r="R238" s="131"/>
      <c r="S238" s="131"/>
      <c r="T238" s="131"/>
      <c r="U238" s="131"/>
    </row>
    <row r="239" spans="2:21">
      <c r="B239" s="129"/>
      <c r="C239" s="129"/>
      <c r="D239" s="129"/>
      <c r="E239" s="129"/>
      <c r="F239" s="129"/>
      <c r="G239" s="129"/>
      <c r="H239" s="130"/>
      <c r="I239" s="131"/>
      <c r="J239" s="131"/>
      <c r="K239" s="131"/>
      <c r="L239" s="131"/>
      <c r="M239" s="131"/>
      <c r="N239" s="131"/>
      <c r="O239" s="131"/>
      <c r="P239" s="131"/>
      <c r="Q239" s="131"/>
      <c r="R239" s="131"/>
      <c r="S239" s="131"/>
      <c r="T239" s="131"/>
      <c r="U239" s="131"/>
    </row>
    <row r="240" spans="2:21">
      <c r="B240" s="129"/>
      <c r="C240" s="129"/>
      <c r="D240" s="129"/>
      <c r="E240" s="129"/>
      <c r="F240" s="129"/>
      <c r="G240" s="129"/>
      <c r="H240" s="130"/>
      <c r="I240" s="131"/>
      <c r="J240" s="131"/>
      <c r="K240" s="131"/>
      <c r="L240" s="131"/>
      <c r="M240" s="131"/>
      <c r="N240" s="131"/>
      <c r="O240" s="131"/>
      <c r="P240" s="131"/>
      <c r="Q240" s="131"/>
      <c r="R240" s="131"/>
      <c r="S240" s="131"/>
      <c r="T240" s="131"/>
      <c r="U240" s="131"/>
    </row>
    <row r="241" spans="2:21">
      <c r="B241" s="129"/>
      <c r="C241" s="129"/>
      <c r="D241" s="129"/>
      <c r="E241" s="129"/>
      <c r="F241" s="129"/>
      <c r="G241" s="129"/>
      <c r="H241" s="130"/>
      <c r="I241" s="131"/>
      <c r="J241" s="131"/>
      <c r="K241" s="131"/>
      <c r="L241" s="131"/>
      <c r="M241" s="131"/>
      <c r="N241" s="131"/>
      <c r="O241" s="131"/>
      <c r="P241" s="131"/>
      <c r="Q241" s="131"/>
      <c r="R241" s="131"/>
      <c r="S241" s="131"/>
      <c r="T241" s="131"/>
      <c r="U241" s="131"/>
    </row>
    <row r="242" spans="2:21">
      <c r="B242" s="129"/>
      <c r="C242" s="129"/>
      <c r="D242" s="129"/>
      <c r="E242" s="129"/>
      <c r="F242" s="129"/>
      <c r="G242" s="129"/>
      <c r="H242" s="130"/>
      <c r="I242" s="131"/>
      <c r="J242" s="131"/>
      <c r="K242" s="131"/>
      <c r="L242" s="131"/>
      <c r="M242" s="131"/>
      <c r="N242" s="131"/>
      <c r="O242" s="131"/>
      <c r="P242" s="131"/>
      <c r="Q242" s="131"/>
      <c r="R242" s="131"/>
      <c r="S242" s="131"/>
      <c r="T242" s="131"/>
      <c r="U242" s="131"/>
    </row>
    <row r="243" spans="2:21">
      <c r="B243" s="129"/>
      <c r="C243" s="129"/>
      <c r="D243" s="129"/>
      <c r="E243" s="129"/>
      <c r="F243" s="129"/>
      <c r="G243" s="129"/>
      <c r="H243" s="130"/>
      <c r="I243" s="131"/>
      <c r="J243" s="131"/>
      <c r="K243" s="131"/>
      <c r="L243" s="131"/>
      <c r="M243" s="131"/>
      <c r="N243" s="131"/>
      <c r="O243" s="131"/>
      <c r="P243" s="131"/>
      <c r="Q243" s="131"/>
      <c r="R243" s="131"/>
      <c r="S243" s="131"/>
      <c r="T243" s="131"/>
      <c r="U243" s="131"/>
    </row>
    <row r="244" spans="2:21">
      <c r="B244" s="129"/>
      <c r="C244" s="129"/>
      <c r="D244" s="129"/>
      <c r="E244" s="129"/>
      <c r="F244" s="129"/>
      <c r="G244" s="129"/>
      <c r="H244" s="130"/>
      <c r="I244" s="131"/>
      <c r="J244" s="131"/>
      <c r="K244" s="131"/>
      <c r="L244" s="131"/>
      <c r="M244" s="131"/>
      <c r="N244" s="131"/>
      <c r="O244" s="131"/>
      <c r="P244" s="131"/>
      <c r="Q244" s="131"/>
      <c r="R244" s="131"/>
      <c r="S244" s="131"/>
      <c r="T244" s="131"/>
      <c r="U244" s="131"/>
    </row>
    <row r="245" spans="2:21">
      <c r="B245" s="129"/>
      <c r="C245" s="129"/>
      <c r="D245" s="129"/>
      <c r="E245" s="129"/>
      <c r="F245" s="129"/>
      <c r="G245" s="129"/>
      <c r="H245" s="130"/>
      <c r="I245" s="131"/>
      <c r="J245" s="131"/>
      <c r="K245" s="131"/>
      <c r="L245" s="131"/>
      <c r="M245" s="131"/>
      <c r="N245" s="131"/>
      <c r="O245" s="131"/>
      <c r="P245" s="131"/>
      <c r="Q245" s="131"/>
      <c r="R245" s="131"/>
      <c r="S245" s="131"/>
      <c r="T245" s="131"/>
      <c r="U245" s="131"/>
    </row>
    <row r="246" spans="2:21">
      <c r="B246" s="129"/>
      <c r="C246" s="129"/>
      <c r="D246" s="129"/>
      <c r="E246" s="129"/>
      <c r="F246" s="129"/>
      <c r="G246" s="129"/>
      <c r="H246" s="130"/>
      <c r="I246" s="131"/>
      <c r="J246" s="131"/>
      <c r="K246" s="131"/>
      <c r="L246" s="131"/>
      <c r="M246" s="131"/>
      <c r="N246" s="131"/>
      <c r="O246" s="131"/>
      <c r="P246" s="131"/>
      <c r="Q246" s="131"/>
      <c r="R246" s="131"/>
      <c r="S246" s="131"/>
      <c r="T246" s="131"/>
      <c r="U246" s="131"/>
    </row>
    <row r="247" spans="2:21">
      <c r="B247" s="129"/>
      <c r="C247" s="129"/>
      <c r="D247" s="129"/>
      <c r="E247" s="129"/>
      <c r="F247" s="129"/>
      <c r="G247" s="129"/>
      <c r="H247" s="130"/>
      <c r="I247" s="131"/>
      <c r="J247" s="131"/>
      <c r="K247" s="131"/>
      <c r="L247" s="131"/>
      <c r="M247" s="131"/>
      <c r="N247" s="131"/>
      <c r="O247" s="131"/>
      <c r="P247" s="131"/>
      <c r="Q247" s="131"/>
      <c r="R247" s="131"/>
      <c r="S247" s="131"/>
      <c r="T247" s="131"/>
      <c r="U247" s="131"/>
    </row>
    <row r="248" spans="2:21">
      <c r="B248" s="129"/>
      <c r="C248" s="129"/>
      <c r="D248" s="129"/>
      <c r="E248" s="129"/>
      <c r="F248" s="129"/>
      <c r="G248" s="129"/>
      <c r="H248" s="130"/>
      <c r="I248" s="131"/>
      <c r="J248" s="131"/>
      <c r="K248" s="131"/>
      <c r="L248" s="131"/>
      <c r="M248" s="131"/>
      <c r="N248" s="131"/>
      <c r="O248" s="131"/>
      <c r="P248" s="131"/>
      <c r="Q248" s="131"/>
      <c r="R248" s="131"/>
      <c r="S248" s="131"/>
      <c r="T248" s="131"/>
      <c r="U248" s="131"/>
    </row>
    <row r="249" spans="2:21">
      <c r="B249" s="129"/>
      <c r="C249" s="129"/>
      <c r="D249" s="129"/>
      <c r="E249" s="129"/>
      <c r="F249" s="129"/>
      <c r="G249" s="129"/>
      <c r="H249" s="130"/>
      <c r="I249" s="131"/>
      <c r="J249" s="131"/>
      <c r="K249" s="131"/>
      <c r="L249" s="131"/>
      <c r="M249" s="131"/>
      <c r="N249" s="131"/>
      <c r="O249" s="131"/>
      <c r="P249" s="131"/>
      <c r="Q249" s="131"/>
      <c r="R249" s="131"/>
      <c r="S249" s="131"/>
      <c r="T249" s="131"/>
      <c r="U249" s="131"/>
    </row>
    <row r="250" spans="2:21">
      <c r="B250" s="129"/>
      <c r="C250" s="129"/>
      <c r="D250" s="129"/>
      <c r="E250" s="129"/>
      <c r="F250" s="129"/>
      <c r="G250" s="129"/>
      <c r="H250" s="130"/>
      <c r="I250" s="131"/>
      <c r="J250" s="131"/>
      <c r="K250" s="131"/>
      <c r="L250" s="131"/>
      <c r="M250" s="131"/>
      <c r="N250" s="131"/>
      <c r="O250" s="131"/>
      <c r="P250" s="131"/>
      <c r="Q250" s="131"/>
      <c r="R250" s="131"/>
      <c r="S250" s="131"/>
      <c r="T250" s="131"/>
      <c r="U250" s="131"/>
    </row>
    <row r="251" spans="2:21">
      <c r="B251" s="129"/>
      <c r="C251" s="129"/>
      <c r="D251" s="129"/>
      <c r="E251" s="129"/>
      <c r="F251" s="129"/>
      <c r="G251" s="129"/>
      <c r="H251" s="130"/>
      <c r="I251" s="131"/>
      <c r="J251" s="131"/>
      <c r="K251" s="131"/>
      <c r="L251" s="131"/>
      <c r="M251" s="131"/>
      <c r="N251" s="131"/>
      <c r="O251" s="131"/>
      <c r="P251" s="131"/>
      <c r="Q251" s="131"/>
      <c r="R251" s="131"/>
      <c r="S251" s="131"/>
      <c r="T251" s="131"/>
      <c r="U251" s="131"/>
    </row>
    <row r="252" spans="2:21">
      <c r="B252" s="129"/>
      <c r="C252" s="129"/>
      <c r="D252" s="129"/>
      <c r="E252" s="129"/>
      <c r="F252" s="129"/>
      <c r="G252" s="129"/>
      <c r="H252" s="130"/>
      <c r="I252" s="131"/>
      <c r="J252" s="131"/>
      <c r="K252" s="131"/>
      <c r="L252" s="131"/>
      <c r="M252" s="131"/>
      <c r="N252" s="131"/>
      <c r="O252" s="131"/>
      <c r="P252" s="131"/>
      <c r="Q252" s="131"/>
      <c r="R252" s="131"/>
      <c r="S252" s="131"/>
      <c r="T252" s="131"/>
      <c r="U252" s="131"/>
    </row>
    <row r="253" spans="2:21">
      <c r="B253" s="129"/>
      <c r="C253" s="129"/>
      <c r="D253" s="129"/>
      <c r="E253" s="129"/>
      <c r="F253" s="129"/>
      <c r="G253" s="129"/>
      <c r="H253" s="130"/>
      <c r="I253" s="131"/>
      <c r="J253" s="131"/>
      <c r="K253" s="131"/>
      <c r="L253" s="131"/>
      <c r="M253" s="131"/>
      <c r="N253" s="131"/>
      <c r="O253" s="131"/>
      <c r="P253" s="131"/>
      <c r="Q253" s="131"/>
      <c r="R253" s="131"/>
      <c r="S253" s="131"/>
      <c r="T253" s="131"/>
      <c r="U253" s="131"/>
    </row>
    <row r="254" spans="2:21">
      <c r="B254" s="129"/>
      <c r="C254" s="129"/>
      <c r="D254" s="129"/>
      <c r="E254" s="129"/>
      <c r="F254" s="129"/>
      <c r="G254" s="129"/>
      <c r="H254" s="130"/>
      <c r="I254" s="131"/>
      <c r="J254" s="131"/>
      <c r="K254" s="131"/>
      <c r="L254" s="131"/>
      <c r="M254" s="131"/>
      <c r="N254" s="131"/>
      <c r="O254" s="131"/>
      <c r="P254" s="131"/>
      <c r="Q254" s="131"/>
      <c r="R254" s="131"/>
      <c r="S254" s="131"/>
      <c r="T254" s="131"/>
      <c r="U254" s="131"/>
    </row>
    <row r="255" spans="2:21">
      <c r="B255" s="129"/>
      <c r="C255" s="129"/>
      <c r="D255" s="129"/>
      <c r="E255" s="129"/>
      <c r="F255" s="129"/>
      <c r="G255" s="129"/>
      <c r="H255" s="130"/>
      <c r="I255" s="131"/>
      <c r="J255" s="131"/>
      <c r="K255" s="131"/>
      <c r="L255" s="131"/>
      <c r="M255" s="131"/>
      <c r="N255" s="131"/>
      <c r="O255" s="131"/>
      <c r="P255" s="131"/>
      <c r="Q255" s="131"/>
      <c r="R255" s="131"/>
      <c r="S255" s="131"/>
      <c r="T255" s="131"/>
      <c r="U255" s="131"/>
    </row>
    <row r="256" spans="2:21">
      <c r="B256" s="129"/>
      <c r="C256" s="129"/>
      <c r="D256" s="129"/>
      <c r="E256" s="129"/>
      <c r="F256" s="129"/>
      <c r="G256" s="129"/>
      <c r="H256" s="130"/>
      <c r="I256" s="131"/>
      <c r="J256" s="131"/>
      <c r="K256" s="131"/>
      <c r="L256" s="131"/>
      <c r="M256" s="131"/>
      <c r="N256" s="131"/>
      <c r="O256" s="131"/>
      <c r="P256" s="131"/>
      <c r="Q256" s="131"/>
      <c r="R256" s="131"/>
      <c r="S256" s="131"/>
      <c r="T256" s="131"/>
      <c r="U256" s="131"/>
    </row>
    <row r="257" spans="2:21">
      <c r="B257" s="129"/>
      <c r="C257" s="129"/>
      <c r="D257" s="129"/>
      <c r="E257" s="129"/>
      <c r="F257" s="129"/>
      <c r="G257" s="129"/>
      <c r="H257" s="130"/>
      <c r="I257" s="131"/>
      <c r="J257" s="131"/>
      <c r="K257" s="131"/>
      <c r="L257" s="131"/>
      <c r="M257" s="131"/>
      <c r="N257" s="131"/>
      <c r="O257" s="131"/>
      <c r="P257" s="131"/>
      <c r="Q257" s="131"/>
      <c r="R257" s="131"/>
      <c r="S257" s="131"/>
      <c r="T257" s="131"/>
      <c r="U257" s="131"/>
    </row>
    <row r="258" spans="2:21">
      <c r="B258" s="129"/>
      <c r="C258" s="129"/>
      <c r="D258" s="129"/>
      <c r="E258" s="129"/>
      <c r="F258" s="129"/>
      <c r="G258" s="129"/>
      <c r="H258" s="130"/>
      <c r="I258" s="131"/>
      <c r="J258" s="131"/>
      <c r="K258" s="131"/>
      <c r="L258" s="131"/>
      <c r="M258" s="131"/>
      <c r="N258" s="131"/>
      <c r="O258" s="131"/>
      <c r="P258" s="131"/>
      <c r="Q258" s="131"/>
      <c r="R258" s="131"/>
      <c r="S258" s="131"/>
      <c r="T258" s="131"/>
      <c r="U258" s="131"/>
    </row>
    <row r="259" spans="2:21">
      <c r="B259" s="129"/>
      <c r="C259" s="129"/>
      <c r="D259" s="129"/>
      <c r="E259" s="129"/>
      <c r="F259" s="129"/>
      <c r="G259" s="129"/>
      <c r="H259" s="130"/>
      <c r="I259" s="131"/>
      <c r="J259" s="131"/>
      <c r="K259" s="131"/>
      <c r="L259" s="131"/>
      <c r="M259" s="131"/>
      <c r="N259" s="131"/>
      <c r="O259" s="131"/>
      <c r="P259" s="131"/>
      <c r="Q259" s="131"/>
      <c r="R259" s="131"/>
      <c r="S259" s="131"/>
      <c r="T259" s="131"/>
      <c r="U259" s="131"/>
    </row>
    <row r="260" spans="2:21">
      <c r="B260" s="129"/>
      <c r="C260" s="129"/>
      <c r="D260" s="129"/>
      <c r="E260" s="129"/>
      <c r="F260" s="129"/>
      <c r="G260" s="129"/>
      <c r="H260" s="130"/>
      <c r="I260" s="131"/>
      <c r="J260" s="131"/>
      <c r="K260" s="131"/>
      <c r="L260" s="131"/>
      <c r="M260" s="131"/>
      <c r="N260" s="131"/>
      <c r="O260" s="131"/>
      <c r="P260" s="131"/>
      <c r="Q260" s="131"/>
      <c r="R260" s="131"/>
      <c r="S260" s="131"/>
      <c r="T260" s="131"/>
      <c r="U260" s="131"/>
    </row>
    <row r="261" spans="2:21">
      <c r="B261" s="129"/>
      <c r="C261" s="129"/>
      <c r="D261" s="129"/>
      <c r="E261" s="129"/>
      <c r="F261" s="129"/>
      <c r="G261" s="129"/>
      <c r="H261" s="130"/>
      <c r="I261" s="131"/>
      <c r="J261" s="131"/>
      <c r="K261" s="131"/>
      <c r="L261" s="131"/>
      <c r="M261" s="131"/>
      <c r="N261" s="131"/>
      <c r="O261" s="131"/>
      <c r="P261" s="131"/>
      <c r="Q261" s="131"/>
      <c r="R261" s="131"/>
      <c r="S261" s="131"/>
      <c r="T261" s="131"/>
      <c r="U261" s="131"/>
    </row>
    <row r="262" spans="2:21">
      <c r="B262" s="129"/>
      <c r="C262" s="129"/>
      <c r="D262" s="129"/>
      <c r="E262" s="129"/>
      <c r="F262" s="129"/>
      <c r="G262" s="129"/>
      <c r="H262" s="130"/>
      <c r="I262" s="131"/>
      <c r="J262" s="131"/>
      <c r="K262" s="131"/>
      <c r="L262" s="131"/>
      <c r="M262" s="131"/>
      <c r="N262" s="131"/>
      <c r="O262" s="131"/>
      <c r="P262" s="131"/>
      <c r="Q262" s="131"/>
      <c r="R262" s="131"/>
      <c r="S262" s="131"/>
      <c r="T262" s="131"/>
      <c r="U262" s="131"/>
    </row>
    <row r="263" spans="2:21">
      <c r="B263" s="129"/>
      <c r="C263" s="129"/>
      <c r="D263" s="129"/>
      <c r="E263" s="129"/>
      <c r="F263" s="129"/>
      <c r="G263" s="129"/>
      <c r="H263" s="130"/>
      <c r="I263" s="131"/>
      <c r="J263" s="131"/>
      <c r="K263" s="131"/>
      <c r="L263" s="131"/>
      <c r="M263" s="131"/>
      <c r="N263" s="131"/>
      <c r="O263" s="131"/>
      <c r="P263" s="131"/>
      <c r="Q263" s="131"/>
      <c r="R263" s="131"/>
      <c r="S263" s="131"/>
      <c r="T263" s="131"/>
      <c r="U263" s="131"/>
    </row>
  </sheetData>
  <sheetProtection formatCells="0" formatColumns="0" formatRows="0" insertRows="0" insertColumns="0" insertHyperlinks="0" deleteColumns="0" deleteRows="0" sort="0" autoFilter="0" pivotTables="0"/>
  <mergeCells count="16">
    <mergeCell ref="B1:G1"/>
    <mergeCell ref="B2:G2"/>
    <mergeCell ref="B89:F89"/>
    <mergeCell ref="B90:F90"/>
    <mergeCell ref="B91:F91"/>
    <mergeCell ref="B92:F92"/>
    <mergeCell ref="B93:F93"/>
    <mergeCell ref="B94:F94"/>
    <mergeCell ref="B128:G128"/>
    <mergeCell ref="B129:G129"/>
    <mergeCell ref="B118:G119"/>
    <mergeCell ref="B102:G107"/>
    <mergeCell ref="B120:G121"/>
    <mergeCell ref="B124:G125"/>
    <mergeCell ref="B122:G123"/>
    <mergeCell ref="B133:G134"/>
  </mergeCells>
  <dataValidations count="1">
    <dataValidation type="list" allowBlank="1" showInputMessage="1" showErrorMessage="1" sqref="B102:B107">
      <formula1>付款条款参考!$D$2:$D$12</formula1>
    </dataValidation>
  </dataValidations>
  <printOptions horizontalCentered="1"/>
  <pageMargins left="0.751388888888889" right="0.751388888888889" top="1" bottom="1" header="0.5" footer="0.5"/>
  <pageSetup paperSize="9" scale="58" orientation="portrait" horizontalDpi="600"/>
  <headerFooter/>
  <colBreaks count="1" manualBreakCount="1">
    <brk id="8"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6"/>
  <sheetViews>
    <sheetView workbookViewId="0">
      <selection activeCell="D6" sqref="D6"/>
    </sheetView>
  </sheetViews>
  <sheetFormatPr defaultColWidth="9.025" defaultRowHeight="15" outlineLevelCol="3"/>
  <cols>
    <col min="1" max="1" width="11.6666666666667" style="49" customWidth="1"/>
    <col min="2" max="3" width="30.7333333333333" style="50" customWidth="1"/>
    <col min="4" max="16384" width="9.025" style="1"/>
  </cols>
  <sheetData>
    <row r="1" ht="13.5" spans="1:4">
      <c r="A1" s="51" t="s">
        <v>1</v>
      </c>
      <c r="B1" s="52" t="s">
        <v>2</v>
      </c>
      <c r="C1" s="52" t="s">
        <v>29</v>
      </c>
      <c r="D1" s="1" t="s">
        <v>2052</v>
      </c>
    </row>
    <row r="2" spans="1:4">
      <c r="A2" s="53">
        <v>2141010050</v>
      </c>
      <c r="B2" s="54" t="s">
        <v>30</v>
      </c>
      <c r="C2" s="55" t="s">
        <v>52</v>
      </c>
      <c r="D2" s="1" t="s">
        <v>1613</v>
      </c>
    </row>
    <row r="3" spans="1:4">
      <c r="A3" s="53">
        <v>2141050030</v>
      </c>
      <c r="B3" s="54" t="s">
        <v>53</v>
      </c>
      <c r="C3" s="55" t="s">
        <v>52</v>
      </c>
      <c r="D3" s="1" t="s">
        <v>1613</v>
      </c>
    </row>
    <row r="4" spans="1:4">
      <c r="A4" s="53">
        <v>2141020110</v>
      </c>
      <c r="B4" s="55" t="s">
        <v>73</v>
      </c>
      <c r="C4" s="55" t="s">
        <v>96</v>
      </c>
      <c r="D4" s="1" t="s">
        <v>1601</v>
      </c>
    </row>
    <row r="5" spans="1:4">
      <c r="A5" s="53">
        <v>2141030020</v>
      </c>
      <c r="B5" s="55" t="s">
        <v>97</v>
      </c>
      <c r="C5" s="55" t="s">
        <v>96</v>
      </c>
      <c r="D5" s="1" t="s">
        <v>1613</v>
      </c>
    </row>
    <row r="6" spans="1:4">
      <c r="A6" s="53">
        <v>2141010070</v>
      </c>
      <c r="B6" s="54" t="s">
        <v>115</v>
      </c>
      <c r="C6" s="55" t="s">
        <v>52</v>
      </c>
      <c r="D6" s="1" t="s">
        <v>1613</v>
      </c>
    </row>
    <row r="7" spans="1:4">
      <c r="A7" s="53">
        <v>2141110010</v>
      </c>
      <c r="B7" s="54" t="s">
        <v>130</v>
      </c>
      <c r="C7" s="55" t="s">
        <v>52</v>
      </c>
      <c r="D7" s="1" t="s">
        <v>1613</v>
      </c>
    </row>
    <row r="8" spans="1:4">
      <c r="A8" s="53">
        <v>2141090020</v>
      </c>
      <c r="B8" s="54" t="s">
        <v>144</v>
      </c>
      <c r="C8" s="55" t="s">
        <v>52</v>
      </c>
      <c r="D8" s="1" t="s">
        <v>1613</v>
      </c>
    </row>
    <row r="9" spans="1:4">
      <c r="A9" s="53">
        <v>2141100020</v>
      </c>
      <c r="B9" s="54" t="s">
        <v>156</v>
      </c>
      <c r="C9" s="55" t="s">
        <v>52</v>
      </c>
      <c r="D9" s="1" t="s">
        <v>1601</v>
      </c>
    </row>
    <row r="10" spans="1:4">
      <c r="A10" s="53">
        <v>2141030030</v>
      </c>
      <c r="B10" s="54" t="s">
        <v>170</v>
      </c>
      <c r="C10" s="55" t="s">
        <v>52</v>
      </c>
      <c r="D10" s="1" t="s">
        <v>1613</v>
      </c>
    </row>
    <row r="11" spans="1:4">
      <c r="A11" s="53">
        <v>2141020030</v>
      </c>
      <c r="B11" s="54" t="s">
        <v>183</v>
      </c>
      <c r="C11" s="55" t="s">
        <v>193</v>
      </c>
      <c r="D11" s="1" t="s">
        <v>1601</v>
      </c>
    </row>
    <row r="12" spans="1:4">
      <c r="A12" s="53">
        <v>2141020130</v>
      </c>
      <c r="B12" s="54" t="s">
        <v>194</v>
      </c>
      <c r="C12" s="55" t="s">
        <v>209</v>
      </c>
      <c r="D12" s="1" t="s">
        <v>1613</v>
      </c>
    </row>
    <row r="13" spans="1:4">
      <c r="A13" s="53">
        <v>2141010080</v>
      </c>
      <c r="B13" s="54" t="s">
        <v>210</v>
      </c>
      <c r="C13" s="55" t="s">
        <v>96</v>
      </c>
      <c r="D13" s="1" t="s">
        <v>1613</v>
      </c>
    </row>
    <row r="14" spans="1:4">
      <c r="A14" s="53">
        <v>2141070020</v>
      </c>
      <c r="B14" s="54" t="s">
        <v>228</v>
      </c>
      <c r="C14" s="55" t="s">
        <v>52</v>
      </c>
      <c r="D14" s="1" t="s">
        <v>1601</v>
      </c>
    </row>
    <row r="15" spans="1:4">
      <c r="A15" s="53">
        <v>2141020020</v>
      </c>
      <c r="B15" s="55" t="s">
        <v>243</v>
      </c>
      <c r="C15" s="55" t="s">
        <v>258</v>
      </c>
      <c r="D15" s="1" t="s">
        <v>1601</v>
      </c>
    </row>
    <row r="16" spans="1:4">
      <c r="A16" s="53">
        <v>2141020140</v>
      </c>
      <c r="B16" s="55" t="s">
        <v>259</v>
      </c>
      <c r="C16" s="55" t="s">
        <v>96</v>
      </c>
      <c r="D16" s="1" t="s">
        <v>1601</v>
      </c>
    </row>
    <row r="17" spans="1:4">
      <c r="A17" s="53">
        <v>2141010090</v>
      </c>
      <c r="B17" s="54" t="s">
        <v>275</v>
      </c>
      <c r="C17" s="55" t="s">
        <v>52</v>
      </c>
      <c r="D17" s="1" t="s">
        <v>1613</v>
      </c>
    </row>
    <row r="18" spans="1:4">
      <c r="A18" s="53">
        <v>2141020160</v>
      </c>
      <c r="B18" s="54" t="s">
        <v>278</v>
      </c>
      <c r="C18" s="55" t="s">
        <v>52</v>
      </c>
      <c r="D18" s="1" t="s">
        <v>1613</v>
      </c>
    </row>
    <row r="19" spans="1:4">
      <c r="A19" s="53">
        <v>2141020150</v>
      </c>
      <c r="B19" s="54" t="s">
        <v>293</v>
      </c>
      <c r="C19" s="55" t="s">
        <v>52</v>
      </c>
      <c r="D19" s="1" t="s">
        <v>1613</v>
      </c>
    </row>
    <row r="20" spans="1:4">
      <c r="A20" s="56">
        <v>2141010110</v>
      </c>
      <c r="B20" s="54" t="s">
        <v>298</v>
      </c>
      <c r="C20" s="55" t="s">
        <v>52</v>
      </c>
      <c r="D20" s="1" t="s">
        <v>1613</v>
      </c>
    </row>
    <row r="21" spans="1:4">
      <c r="A21" s="53"/>
      <c r="B21" s="54" t="s">
        <v>310</v>
      </c>
      <c r="C21" s="55" t="s">
        <v>52</v>
      </c>
      <c r="D21" s="1" t="s">
        <v>1613</v>
      </c>
    </row>
    <row r="22" spans="1:4">
      <c r="A22" s="56">
        <v>2141010100</v>
      </c>
      <c r="B22" s="54" t="s">
        <v>318</v>
      </c>
      <c r="C22" s="55" t="s">
        <v>52</v>
      </c>
      <c r="D22" s="1" t="s">
        <v>1613</v>
      </c>
    </row>
    <row r="23" spans="1:4">
      <c r="A23" s="53"/>
      <c r="B23" s="54" t="s">
        <v>328</v>
      </c>
      <c r="C23" s="55" t="s">
        <v>52</v>
      </c>
      <c r="D23" s="1" t="s">
        <v>1601</v>
      </c>
    </row>
    <row r="24" spans="1:4">
      <c r="A24" s="53">
        <v>2141110020</v>
      </c>
      <c r="B24" s="54" t="s">
        <v>330</v>
      </c>
      <c r="C24" s="55" t="s">
        <v>96</v>
      </c>
      <c r="D24" s="1" t="s">
        <v>1613</v>
      </c>
    </row>
    <row r="25" spans="1:4">
      <c r="A25" s="53">
        <v>2141100030</v>
      </c>
      <c r="B25" s="55" t="s">
        <v>341</v>
      </c>
      <c r="C25" s="55" t="s">
        <v>96</v>
      </c>
      <c r="D25" s="1" t="s">
        <v>1601</v>
      </c>
    </row>
    <row r="26" spans="1:4">
      <c r="A26" s="56">
        <v>2141030060</v>
      </c>
      <c r="B26" s="55" t="s">
        <v>354</v>
      </c>
      <c r="C26" s="55" t="s">
        <v>96</v>
      </c>
      <c r="D26" s="1" t="s">
        <v>1613</v>
      </c>
    </row>
    <row r="27" spans="1:4">
      <c r="A27" s="56">
        <v>2141120020</v>
      </c>
      <c r="B27" s="54" t="s">
        <v>367</v>
      </c>
      <c r="C27" s="55" t="s">
        <v>96</v>
      </c>
      <c r="D27" s="1" t="s">
        <v>1613</v>
      </c>
    </row>
    <row r="28" spans="1:4">
      <c r="A28" s="57">
        <v>2141120010</v>
      </c>
      <c r="B28" s="54" t="s">
        <v>378</v>
      </c>
      <c r="C28" s="55" t="s">
        <v>389</v>
      </c>
      <c r="D28" s="1" t="s">
        <v>1613</v>
      </c>
    </row>
    <row r="29" spans="1:4">
      <c r="A29" s="53">
        <v>2141130010</v>
      </c>
      <c r="B29" s="55" t="s">
        <v>390</v>
      </c>
      <c r="C29" s="55" t="s">
        <v>96</v>
      </c>
      <c r="D29" s="1" t="s">
        <v>1613</v>
      </c>
    </row>
    <row r="30" spans="1:4">
      <c r="A30" s="53">
        <v>2141020190</v>
      </c>
      <c r="B30" s="54" t="s">
        <v>406</v>
      </c>
      <c r="C30" s="55" t="s">
        <v>209</v>
      </c>
      <c r="D30" s="1" t="s">
        <v>1613</v>
      </c>
    </row>
    <row r="31" spans="1:4">
      <c r="A31" s="53">
        <v>2141010120</v>
      </c>
      <c r="B31" s="54" t="s">
        <v>422</v>
      </c>
      <c r="C31" s="55" t="s">
        <v>96</v>
      </c>
      <c r="D31" s="1" t="s">
        <v>1601</v>
      </c>
    </row>
    <row r="32" spans="1:4">
      <c r="A32" s="53">
        <v>2141010130</v>
      </c>
      <c r="B32" s="55" t="s">
        <v>434</v>
      </c>
      <c r="C32" s="55" t="s">
        <v>96</v>
      </c>
      <c r="D32" s="1" t="s">
        <v>1613</v>
      </c>
    </row>
    <row r="33" spans="1:4">
      <c r="A33" s="53">
        <v>2141140010</v>
      </c>
      <c r="B33" s="54" t="s">
        <v>446</v>
      </c>
      <c r="C33" s="55" t="s">
        <v>96</v>
      </c>
      <c r="D33" s="1" t="s">
        <v>1613</v>
      </c>
    </row>
    <row r="34" spans="1:4">
      <c r="A34" s="53">
        <v>2141160010</v>
      </c>
      <c r="B34" s="55" t="s">
        <v>458</v>
      </c>
      <c r="C34" s="55" t="s">
        <v>96</v>
      </c>
      <c r="D34" s="1" t="s">
        <v>1613</v>
      </c>
    </row>
    <row r="35" spans="1:4">
      <c r="A35" s="53">
        <v>2141170010</v>
      </c>
      <c r="B35" s="54" t="s">
        <v>474</v>
      </c>
      <c r="C35" s="58" t="s">
        <v>489</v>
      </c>
      <c r="D35" s="1" t="s">
        <v>1613</v>
      </c>
    </row>
    <row r="36" spans="1:4">
      <c r="A36" s="53">
        <v>2141190020</v>
      </c>
      <c r="B36" s="54" t="s">
        <v>490</v>
      </c>
      <c r="C36" s="58" t="s">
        <v>489</v>
      </c>
      <c r="D36" s="1" t="s">
        <v>1613</v>
      </c>
    </row>
    <row r="37" spans="1:4">
      <c r="A37" s="53">
        <v>2141190010</v>
      </c>
      <c r="B37" s="54" t="s">
        <v>502</v>
      </c>
      <c r="C37" s="58" t="s">
        <v>489</v>
      </c>
      <c r="D37" s="1" t="s">
        <v>1613</v>
      </c>
    </row>
    <row r="38" spans="1:4">
      <c r="A38" s="53">
        <v>2141290010</v>
      </c>
      <c r="B38" s="54" t="s">
        <v>511</v>
      </c>
      <c r="C38" s="58" t="s">
        <v>489</v>
      </c>
      <c r="D38" s="1" t="s">
        <v>1613</v>
      </c>
    </row>
    <row r="39" spans="1:4">
      <c r="A39" s="53">
        <v>2141040020</v>
      </c>
      <c r="B39" s="54" t="s">
        <v>525</v>
      </c>
      <c r="C39" s="58" t="s">
        <v>489</v>
      </c>
      <c r="D39" s="1" t="s">
        <v>1613</v>
      </c>
    </row>
    <row r="40" spans="1:4">
      <c r="A40" s="59">
        <v>2141020200</v>
      </c>
      <c r="B40" s="60" t="s">
        <v>538</v>
      </c>
      <c r="C40" s="58" t="s">
        <v>489</v>
      </c>
      <c r="D40" s="1" t="s">
        <v>1613</v>
      </c>
    </row>
    <row r="41" spans="1:4">
      <c r="A41" s="59">
        <v>2141020240</v>
      </c>
      <c r="B41" s="60" t="s">
        <v>553</v>
      </c>
      <c r="C41" s="58" t="s">
        <v>489</v>
      </c>
      <c r="D41" s="1" t="s">
        <v>1601</v>
      </c>
    </row>
    <row r="42" ht="13.5" spans="1:4">
      <c r="A42" s="59">
        <v>2141180010</v>
      </c>
      <c r="B42" s="60" t="s">
        <v>568</v>
      </c>
      <c r="C42" s="58" t="s">
        <v>580</v>
      </c>
      <c r="D42" s="1" t="s">
        <v>1613</v>
      </c>
    </row>
    <row r="43" spans="1:4">
      <c r="A43" s="61">
        <v>2141150010</v>
      </c>
      <c r="B43" s="60" t="s">
        <v>581</v>
      </c>
      <c r="C43" s="55" t="s">
        <v>583</v>
      </c>
      <c r="D43" s="1" t="s">
        <v>1613</v>
      </c>
    </row>
    <row r="44" spans="1:4">
      <c r="A44" s="53">
        <v>2141010050</v>
      </c>
      <c r="B44" s="54" t="s">
        <v>30</v>
      </c>
      <c r="C44" s="62" t="s">
        <v>2053</v>
      </c>
      <c r="D44" s="1" t="s">
        <v>1613</v>
      </c>
    </row>
    <row r="45" spans="1:4">
      <c r="A45" s="53">
        <v>2141050030</v>
      </c>
      <c r="B45" s="54" t="s">
        <v>53</v>
      </c>
      <c r="C45" s="62" t="s">
        <v>2053</v>
      </c>
      <c r="D45" s="1" t="s">
        <v>1613</v>
      </c>
    </row>
    <row r="46" spans="1:4">
      <c r="A46" s="53">
        <v>2141020110</v>
      </c>
      <c r="B46" s="55" t="s">
        <v>73</v>
      </c>
      <c r="C46" s="62" t="s">
        <v>2053</v>
      </c>
      <c r="D46" s="1" t="s">
        <v>1601</v>
      </c>
    </row>
    <row r="47" spans="1:4">
      <c r="A47" s="53">
        <v>2141030020</v>
      </c>
      <c r="B47" s="55" t="s">
        <v>97</v>
      </c>
      <c r="C47" s="62" t="s">
        <v>2053</v>
      </c>
      <c r="D47" s="1" t="s">
        <v>1613</v>
      </c>
    </row>
    <row r="48" spans="1:4">
      <c r="A48" s="53">
        <v>2141010070</v>
      </c>
      <c r="B48" s="54" t="s">
        <v>115</v>
      </c>
      <c r="C48" s="62" t="s">
        <v>2053</v>
      </c>
      <c r="D48" s="1" t="s">
        <v>1613</v>
      </c>
    </row>
    <row r="49" spans="1:4">
      <c r="A49" s="53">
        <v>2141110010</v>
      </c>
      <c r="B49" s="54" t="s">
        <v>130</v>
      </c>
      <c r="C49" s="62" t="s">
        <v>2053</v>
      </c>
      <c r="D49" s="1" t="s">
        <v>1613</v>
      </c>
    </row>
    <row r="50" spans="1:4">
      <c r="A50" s="53">
        <v>2141090020</v>
      </c>
      <c r="B50" s="54" t="s">
        <v>144</v>
      </c>
      <c r="C50" s="62" t="s">
        <v>2053</v>
      </c>
      <c r="D50" s="1" t="s">
        <v>1613</v>
      </c>
    </row>
    <row r="51" spans="1:4">
      <c r="A51" s="53">
        <v>2141100020</v>
      </c>
      <c r="B51" s="54" t="s">
        <v>156</v>
      </c>
      <c r="C51" s="62" t="s">
        <v>2053</v>
      </c>
      <c r="D51" s="1" t="s">
        <v>1601</v>
      </c>
    </row>
    <row r="52" spans="1:4">
      <c r="A52" s="53">
        <v>2141030030</v>
      </c>
      <c r="B52" s="54" t="s">
        <v>170</v>
      </c>
      <c r="C52" s="62" t="s">
        <v>2053</v>
      </c>
      <c r="D52" s="1" t="s">
        <v>1613</v>
      </c>
    </row>
    <row r="53" spans="1:4">
      <c r="A53" s="53">
        <v>2141020030</v>
      </c>
      <c r="B53" s="54" t="s">
        <v>183</v>
      </c>
      <c r="C53" s="62" t="s">
        <v>2053</v>
      </c>
      <c r="D53" s="1" t="s">
        <v>1601</v>
      </c>
    </row>
    <row r="54" spans="1:4">
      <c r="A54" s="53">
        <v>2141020130</v>
      </c>
      <c r="B54" s="54" t="s">
        <v>194</v>
      </c>
      <c r="C54" s="62" t="s">
        <v>2053</v>
      </c>
      <c r="D54" s="1" t="s">
        <v>1613</v>
      </c>
    </row>
    <row r="55" spans="1:4">
      <c r="A55" s="53">
        <v>2141010080</v>
      </c>
      <c r="B55" s="54" t="s">
        <v>210</v>
      </c>
      <c r="C55" s="62" t="s">
        <v>2053</v>
      </c>
      <c r="D55" s="1" t="s">
        <v>1613</v>
      </c>
    </row>
    <row r="56" spans="1:4">
      <c r="A56" s="53">
        <v>2141070020</v>
      </c>
      <c r="B56" s="54" t="s">
        <v>228</v>
      </c>
      <c r="C56" s="62" t="s">
        <v>2053</v>
      </c>
      <c r="D56" s="1" t="s">
        <v>1601</v>
      </c>
    </row>
    <row r="57" spans="1:4">
      <c r="A57" s="53">
        <v>2141020020</v>
      </c>
      <c r="B57" s="55" t="s">
        <v>243</v>
      </c>
      <c r="C57" s="62" t="s">
        <v>2053</v>
      </c>
      <c r="D57" s="1" t="s">
        <v>1601</v>
      </c>
    </row>
    <row r="58" spans="1:4">
      <c r="A58" s="53">
        <v>2141020140</v>
      </c>
      <c r="B58" s="55" t="s">
        <v>259</v>
      </c>
      <c r="C58" s="62" t="s">
        <v>2053</v>
      </c>
      <c r="D58" s="1" t="s">
        <v>1601</v>
      </c>
    </row>
    <row r="59" spans="1:4">
      <c r="A59" s="53">
        <v>2141010090</v>
      </c>
      <c r="B59" s="54" t="s">
        <v>275</v>
      </c>
      <c r="C59" s="62" t="s">
        <v>2053</v>
      </c>
      <c r="D59" s="1" t="s">
        <v>1613</v>
      </c>
    </row>
    <row r="60" spans="1:4">
      <c r="A60" s="53">
        <v>2141020160</v>
      </c>
      <c r="B60" s="54" t="s">
        <v>278</v>
      </c>
      <c r="C60" s="62" t="s">
        <v>2053</v>
      </c>
      <c r="D60" s="1" t="s">
        <v>1613</v>
      </c>
    </row>
    <row r="61" spans="1:4">
      <c r="A61" s="53">
        <v>2141020150</v>
      </c>
      <c r="B61" s="54" t="s">
        <v>293</v>
      </c>
      <c r="C61" s="62" t="s">
        <v>2053</v>
      </c>
      <c r="D61" s="1" t="s">
        <v>1613</v>
      </c>
    </row>
    <row r="62" spans="1:4">
      <c r="A62" s="56">
        <v>2141010110</v>
      </c>
      <c r="B62" s="54" t="s">
        <v>298</v>
      </c>
      <c r="C62" s="62" t="s">
        <v>2053</v>
      </c>
      <c r="D62" s="1" t="s">
        <v>1613</v>
      </c>
    </row>
    <row r="63" spans="1:4">
      <c r="A63" s="53"/>
      <c r="B63" s="54" t="s">
        <v>310</v>
      </c>
      <c r="C63" s="62" t="s">
        <v>2053</v>
      </c>
      <c r="D63" s="1" t="s">
        <v>1613</v>
      </c>
    </row>
    <row r="64" spans="1:4">
      <c r="A64" s="56">
        <v>2141010100</v>
      </c>
      <c r="B64" s="54" t="s">
        <v>318</v>
      </c>
      <c r="C64" s="62" t="s">
        <v>2053</v>
      </c>
      <c r="D64" s="1" t="s">
        <v>1613</v>
      </c>
    </row>
    <row r="65" spans="1:4">
      <c r="A65" s="53"/>
      <c r="B65" s="54" t="s">
        <v>328</v>
      </c>
      <c r="C65" s="62" t="s">
        <v>2053</v>
      </c>
      <c r="D65" s="1" t="s">
        <v>1601</v>
      </c>
    </row>
    <row r="66" spans="1:4">
      <c r="A66" s="53">
        <v>2141110020</v>
      </c>
      <c r="B66" s="54" t="s">
        <v>330</v>
      </c>
      <c r="C66" s="62" t="s">
        <v>2053</v>
      </c>
      <c r="D66" s="1" t="s">
        <v>1613</v>
      </c>
    </row>
    <row r="67" spans="1:4">
      <c r="A67" s="53">
        <v>2141100030</v>
      </c>
      <c r="B67" s="55" t="s">
        <v>341</v>
      </c>
      <c r="C67" s="62" t="s">
        <v>2053</v>
      </c>
      <c r="D67" s="1" t="s">
        <v>1601</v>
      </c>
    </row>
    <row r="68" spans="1:4">
      <c r="A68" s="56">
        <v>2141030060</v>
      </c>
      <c r="B68" s="55" t="s">
        <v>354</v>
      </c>
      <c r="C68" s="62" t="s">
        <v>2053</v>
      </c>
      <c r="D68" s="1" t="s">
        <v>1613</v>
      </c>
    </row>
    <row r="69" spans="1:4">
      <c r="A69" s="56">
        <v>2141120020</v>
      </c>
      <c r="B69" s="54" t="s">
        <v>367</v>
      </c>
      <c r="C69" s="62" t="s">
        <v>2053</v>
      </c>
      <c r="D69" s="1" t="s">
        <v>1613</v>
      </c>
    </row>
    <row r="70" spans="1:4">
      <c r="A70" s="57">
        <v>2141120010</v>
      </c>
      <c r="B70" s="54" t="s">
        <v>378</v>
      </c>
      <c r="C70" s="62" t="s">
        <v>2053</v>
      </c>
      <c r="D70" s="1" t="s">
        <v>1613</v>
      </c>
    </row>
    <row r="71" spans="1:4">
      <c r="A71" s="53">
        <v>2141130010</v>
      </c>
      <c r="B71" s="55" t="s">
        <v>390</v>
      </c>
      <c r="C71" s="62" t="s">
        <v>2053</v>
      </c>
      <c r="D71" s="1" t="s">
        <v>1613</v>
      </c>
    </row>
    <row r="72" spans="1:4">
      <c r="A72" s="53">
        <v>2141020190</v>
      </c>
      <c r="B72" s="54" t="s">
        <v>406</v>
      </c>
      <c r="C72" s="62" t="s">
        <v>2053</v>
      </c>
      <c r="D72" s="1" t="s">
        <v>1613</v>
      </c>
    </row>
    <row r="73" spans="1:4">
      <c r="A73" s="53">
        <v>2141010120</v>
      </c>
      <c r="B73" s="54" t="s">
        <v>422</v>
      </c>
      <c r="C73" s="62" t="s">
        <v>2053</v>
      </c>
      <c r="D73" s="1" t="s">
        <v>1601</v>
      </c>
    </row>
    <row r="74" spans="1:4">
      <c r="A74" s="53">
        <v>2141010130</v>
      </c>
      <c r="B74" s="55" t="s">
        <v>434</v>
      </c>
      <c r="C74" s="62" t="s">
        <v>2053</v>
      </c>
      <c r="D74" s="1" t="s">
        <v>1613</v>
      </c>
    </row>
    <row r="75" spans="1:4">
      <c r="A75" s="53">
        <v>2141140010</v>
      </c>
      <c r="B75" s="54" t="s">
        <v>446</v>
      </c>
      <c r="C75" s="62" t="s">
        <v>2053</v>
      </c>
      <c r="D75" s="1" t="s">
        <v>1613</v>
      </c>
    </row>
    <row r="76" spans="1:4">
      <c r="A76" s="53">
        <v>2141160010</v>
      </c>
      <c r="B76" s="55" t="s">
        <v>458</v>
      </c>
      <c r="C76" s="62" t="s">
        <v>2053</v>
      </c>
      <c r="D76" s="1" t="s">
        <v>1613</v>
      </c>
    </row>
    <row r="77" spans="1:4">
      <c r="A77" s="53">
        <v>2141170010</v>
      </c>
      <c r="B77" s="54" t="s">
        <v>474</v>
      </c>
      <c r="C77" s="62" t="s">
        <v>2053</v>
      </c>
      <c r="D77" s="1" t="s">
        <v>1613</v>
      </c>
    </row>
    <row r="78" spans="1:4">
      <c r="A78" s="53">
        <v>2141190020</v>
      </c>
      <c r="B78" s="54" t="s">
        <v>490</v>
      </c>
      <c r="C78" s="62" t="s">
        <v>2053</v>
      </c>
      <c r="D78" s="1" t="s">
        <v>1613</v>
      </c>
    </row>
    <row r="79" spans="1:4">
      <c r="A79" s="53">
        <v>2141190010</v>
      </c>
      <c r="B79" s="54" t="s">
        <v>502</v>
      </c>
      <c r="C79" s="62" t="s">
        <v>2053</v>
      </c>
      <c r="D79" s="1" t="s">
        <v>1613</v>
      </c>
    </row>
    <row r="80" spans="1:4">
      <c r="A80" s="53">
        <v>2141290010</v>
      </c>
      <c r="B80" s="54" t="s">
        <v>511</v>
      </c>
      <c r="C80" s="62" t="s">
        <v>2053</v>
      </c>
      <c r="D80" s="1" t="s">
        <v>1613</v>
      </c>
    </row>
    <row r="81" spans="1:4">
      <c r="A81" s="53">
        <v>2141040020</v>
      </c>
      <c r="B81" s="54" t="s">
        <v>525</v>
      </c>
      <c r="C81" s="62" t="s">
        <v>2053</v>
      </c>
      <c r="D81" s="1" t="s">
        <v>1613</v>
      </c>
    </row>
    <row r="82" ht="13.5" spans="1:4">
      <c r="A82" s="59">
        <v>2141020200</v>
      </c>
      <c r="B82" s="60" t="s">
        <v>538</v>
      </c>
      <c r="C82" s="62" t="s">
        <v>2053</v>
      </c>
      <c r="D82" s="1" t="s">
        <v>1613</v>
      </c>
    </row>
    <row r="83" ht="13.5" spans="1:4">
      <c r="A83" s="59">
        <v>2141020240</v>
      </c>
      <c r="B83" s="60" t="s">
        <v>553</v>
      </c>
      <c r="C83" s="62" t="s">
        <v>2053</v>
      </c>
      <c r="D83" s="1" t="s">
        <v>1601</v>
      </c>
    </row>
    <row r="84" ht="13.5" spans="1:4">
      <c r="A84" s="59">
        <v>2141180010</v>
      </c>
      <c r="B84" s="60" t="s">
        <v>568</v>
      </c>
      <c r="C84" s="62" t="s">
        <v>2053</v>
      </c>
      <c r="D84" s="1" t="s">
        <v>1613</v>
      </c>
    </row>
    <row r="85" ht="13.5" spans="1:4">
      <c r="A85" s="61">
        <v>2141150010</v>
      </c>
      <c r="B85" s="60" t="s">
        <v>581</v>
      </c>
      <c r="C85" s="62" t="s">
        <v>2053</v>
      </c>
      <c r="D85" s="1" t="s">
        <v>1613</v>
      </c>
    </row>
    <row r="86" ht="13.5" spans="1:3">
      <c r="A86" s="1"/>
      <c r="B86" s="1"/>
      <c r="C86" s="63"/>
    </row>
    <row r="87" ht="13.5" spans="1:3">
      <c r="A87" s="1"/>
      <c r="B87" s="1"/>
      <c r="C87" s="63"/>
    </row>
    <row r="88" ht="13.5" spans="1:3">
      <c r="A88" s="1"/>
      <c r="B88" s="1"/>
      <c r="C88" s="63"/>
    </row>
    <row r="89" ht="13.5" spans="1:3">
      <c r="A89" s="1"/>
      <c r="B89" s="1"/>
      <c r="C89" s="63"/>
    </row>
    <row r="90" ht="13.5" spans="1:3">
      <c r="A90" s="1"/>
      <c r="B90" s="1"/>
      <c r="C90" s="63"/>
    </row>
    <row r="91" ht="13.5" spans="1:3">
      <c r="A91" s="1"/>
      <c r="B91" s="1"/>
      <c r="C91" s="63"/>
    </row>
    <row r="92" ht="13.5" spans="1:3">
      <c r="A92" s="1"/>
      <c r="B92" s="1"/>
      <c r="C92" s="63"/>
    </row>
    <row r="93" ht="13.5" spans="1:3">
      <c r="A93" s="1"/>
      <c r="B93" s="1"/>
      <c r="C93" s="63"/>
    </row>
    <row r="94" ht="13.5" spans="1:3">
      <c r="A94" s="1"/>
      <c r="B94" s="1"/>
      <c r="C94" s="63"/>
    </row>
    <row r="95" ht="13.5" spans="1:3">
      <c r="A95" s="1"/>
      <c r="B95" s="1"/>
      <c r="C95" s="63"/>
    </row>
    <row r="96" ht="13.5" spans="1:3">
      <c r="A96" s="1"/>
      <c r="B96" s="1"/>
      <c r="C96" s="63"/>
    </row>
    <row r="97" ht="13.5" spans="1:3">
      <c r="A97" s="1"/>
      <c r="B97" s="1"/>
      <c r="C97" s="63"/>
    </row>
    <row r="98" ht="13.5" spans="1:3">
      <c r="A98" s="1"/>
      <c r="B98" s="1"/>
      <c r="C98" s="63"/>
    </row>
    <row r="99" ht="13.5" spans="1:3">
      <c r="A99" s="1"/>
      <c r="B99" s="1"/>
      <c r="C99" s="63"/>
    </row>
    <row r="100" ht="13.5" spans="1:3">
      <c r="A100" s="1"/>
      <c r="B100" s="1"/>
      <c r="C100" s="63"/>
    </row>
    <row r="101" ht="13.5" spans="1:3">
      <c r="A101" s="1"/>
      <c r="B101" s="1"/>
      <c r="C101" s="63"/>
    </row>
    <row r="102" ht="13.5" spans="1:3">
      <c r="A102" s="1"/>
      <c r="B102" s="1"/>
      <c r="C102" s="63"/>
    </row>
    <row r="103" ht="13.5" spans="1:3">
      <c r="A103" s="1"/>
      <c r="B103" s="1"/>
      <c r="C103" s="63"/>
    </row>
    <row r="104" ht="13.5" spans="1:3">
      <c r="A104" s="1"/>
      <c r="B104" s="1"/>
      <c r="C104" s="63"/>
    </row>
    <row r="105" ht="13.5" spans="1:3">
      <c r="A105" s="1"/>
      <c r="B105" s="1"/>
      <c r="C105" s="63"/>
    </row>
    <row r="106" ht="13.5" spans="1:3">
      <c r="A106" s="1"/>
      <c r="B106" s="1"/>
      <c r="C106" s="63"/>
    </row>
    <row r="107" ht="13.5" spans="1:3">
      <c r="A107" s="1"/>
      <c r="B107" s="1"/>
      <c r="C107" s="63"/>
    </row>
    <row r="108" ht="13.5" spans="1:3">
      <c r="A108" s="1"/>
      <c r="B108" s="1"/>
      <c r="C108" s="63"/>
    </row>
    <row r="109" ht="13.5" spans="1:3">
      <c r="A109" s="1"/>
      <c r="B109" s="1"/>
      <c r="C109" s="63"/>
    </row>
    <row r="110" ht="13.5" spans="1:3">
      <c r="A110" s="1"/>
      <c r="B110" s="1"/>
      <c r="C110" s="63"/>
    </row>
    <row r="111" ht="13.5" spans="1:3">
      <c r="A111" s="1"/>
      <c r="B111" s="1"/>
      <c r="C111" s="63"/>
    </row>
    <row r="112" ht="13.5" spans="1:3">
      <c r="A112" s="1"/>
      <c r="B112" s="1"/>
      <c r="C112" s="63"/>
    </row>
    <row r="113" ht="13.5" spans="1:3">
      <c r="A113" s="1"/>
      <c r="B113" s="1"/>
      <c r="C113" s="63"/>
    </row>
    <row r="114" ht="13.5" spans="1:3">
      <c r="A114" s="1"/>
      <c r="B114" s="1"/>
      <c r="C114" s="63"/>
    </row>
    <row r="115" ht="13.5" spans="1:3">
      <c r="A115" s="1"/>
      <c r="B115" s="1"/>
      <c r="C115" s="63"/>
    </row>
    <row r="116" ht="13.5" spans="1:3">
      <c r="A116" s="1"/>
      <c r="B116" s="1"/>
      <c r="C116" s="63"/>
    </row>
    <row r="117" ht="13.5" spans="1:3">
      <c r="A117" s="1"/>
      <c r="B117" s="1"/>
      <c r="C117" s="63"/>
    </row>
    <row r="118" ht="13.5" spans="1:3">
      <c r="A118" s="1"/>
      <c r="B118" s="1"/>
      <c r="C118" s="63"/>
    </row>
    <row r="119" ht="13.5" spans="1:3">
      <c r="A119" s="1"/>
      <c r="B119" s="1"/>
      <c r="C119" s="63"/>
    </row>
    <row r="120" ht="13.5" spans="1:3">
      <c r="A120" s="1"/>
      <c r="B120" s="1"/>
      <c r="C120" s="63"/>
    </row>
    <row r="121" ht="13.5" spans="1:3">
      <c r="A121" s="1"/>
      <c r="B121" s="1"/>
      <c r="C121" s="63"/>
    </row>
    <row r="122" ht="13.5" spans="1:3">
      <c r="A122" s="1"/>
      <c r="B122" s="1"/>
      <c r="C122" s="63"/>
    </row>
    <row r="123" ht="13.5" spans="1:3">
      <c r="A123" s="1"/>
      <c r="B123" s="1"/>
      <c r="C123" s="63"/>
    </row>
    <row r="124" ht="13.5" spans="1:3">
      <c r="A124" s="1"/>
      <c r="B124" s="1"/>
      <c r="C124" s="63"/>
    </row>
    <row r="125" ht="13.5" spans="1:3">
      <c r="A125" s="1"/>
      <c r="B125" s="1"/>
      <c r="C125" s="63"/>
    </row>
    <row r="126" ht="13.5" spans="1:3">
      <c r="A126" s="1"/>
      <c r="B126" s="1"/>
      <c r="C126" s="63"/>
    </row>
    <row r="127" ht="13.5" spans="1:3">
      <c r="A127" s="1"/>
      <c r="B127" s="1"/>
      <c r="C127" s="63"/>
    </row>
    <row r="128" ht="13.5" spans="1:3">
      <c r="A128" s="1"/>
      <c r="B128" s="1"/>
      <c r="C128" s="63"/>
    </row>
    <row r="129" ht="13.5" spans="1:3">
      <c r="A129" s="1"/>
      <c r="B129" s="1"/>
      <c r="C129" s="63"/>
    </row>
    <row r="130" ht="13.5" spans="1:3">
      <c r="A130" s="1"/>
      <c r="B130" s="1"/>
      <c r="C130" s="63"/>
    </row>
    <row r="131" ht="13.5" spans="1:3">
      <c r="A131" s="1"/>
      <c r="B131" s="1"/>
      <c r="C131" s="63"/>
    </row>
    <row r="132" ht="13.5" spans="1:3">
      <c r="A132" s="1"/>
      <c r="B132" s="1"/>
      <c r="C132" s="63"/>
    </row>
    <row r="133" ht="13.5" spans="1:3">
      <c r="A133" s="1"/>
      <c r="B133" s="1"/>
      <c r="C133" s="63"/>
    </row>
    <row r="134" ht="13.5" spans="1:3">
      <c r="A134" s="1"/>
      <c r="B134" s="1"/>
      <c r="C134" s="63"/>
    </row>
    <row r="135" ht="13.5" spans="1:3">
      <c r="A135" s="1"/>
      <c r="B135" s="1"/>
      <c r="C135" s="63"/>
    </row>
    <row r="136" ht="13.5" spans="1:3">
      <c r="A136" s="1"/>
      <c r="B136" s="1"/>
      <c r="C136" s="63"/>
    </row>
    <row r="137" ht="13.5" spans="1:3">
      <c r="A137" s="1"/>
      <c r="B137" s="1"/>
      <c r="C137" s="63"/>
    </row>
    <row r="138" ht="13.5" spans="1:3">
      <c r="A138" s="1"/>
      <c r="B138" s="1"/>
      <c r="C138" s="63"/>
    </row>
    <row r="139" ht="13.5" spans="1:3">
      <c r="A139" s="1"/>
      <c r="B139" s="1"/>
      <c r="C139" s="63"/>
    </row>
    <row r="140" ht="13.5" spans="1:3">
      <c r="A140" s="1"/>
      <c r="B140" s="1"/>
      <c r="C140" s="63"/>
    </row>
    <row r="141" ht="13.5" spans="1:3">
      <c r="A141" s="1"/>
      <c r="B141" s="1"/>
      <c r="C141" s="63"/>
    </row>
    <row r="142" ht="13.5" spans="1:3">
      <c r="A142" s="1"/>
      <c r="B142" s="1"/>
      <c r="C142" s="63"/>
    </row>
    <row r="143" ht="13.5" spans="1:3">
      <c r="A143" s="1"/>
      <c r="B143" s="1"/>
      <c r="C143" s="63"/>
    </row>
    <row r="144" ht="13.5" spans="1:3">
      <c r="A144" s="1"/>
      <c r="B144" s="1"/>
      <c r="C144" s="63"/>
    </row>
    <row r="145" ht="13.5" spans="1:3">
      <c r="A145" s="1"/>
      <c r="B145" s="1"/>
      <c r="C145" s="63"/>
    </row>
    <row r="146" ht="13.5" spans="1:3">
      <c r="A146" s="1"/>
      <c r="B146" s="1"/>
      <c r="C146" s="63"/>
    </row>
  </sheetData>
  <conditionalFormatting sqref="A43:B43">
    <cfRule type="duplicateValues" dxfId="0" priority="3"/>
  </conditionalFormatting>
  <conditionalFormatting sqref="A85:B85">
    <cfRule type="duplicateValues" dxfId="0" priority="1"/>
  </conditionalFormatting>
  <conditionalFormatting sqref="A40:A42">
    <cfRule type="duplicateValues" dxfId="0" priority="4"/>
  </conditionalFormatting>
  <conditionalFormatting sqref="A82:A84">
    <cfRule type="duplicateValues" dxfId="0" priority="2"/>
  </conditionalFormatting>
  <dataValidations count="3">
    <dataValidation type="list" allowBlank="1" showInputMessage="1" showErrorMessage="1" sqref="C42">
      <formula1>付款条款参考!$D$2:$D$17</formula1>
    </dataValidation>
    <dataValidation type="list" allowBlank="1" showInputMessage="1" showErrorMessage="1" sqref="C43 C2:C34">
      <formula1>付款条款参考!$D$2:$D$16</formula1>
    </dataValidation>
    <dataValidation type="list" allowBlank="1" showInputMessage="1" showErrorMessage="1" sqref="C35:C41">
      <formula1>付款条款参考!$D$2:$D$13</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C16" sqref="C16"/>
    </sheetView>
  </sheetViews>
  <sheetFormatPr defaultColWidth="9.025" defaultRowHeight="13.5" outlineLevelRow="2" outlineLevelCol="2"/>
  <cols>
    <col min="1" max="1" width="28.5333333333333" customWidth="1"/>
    <col min="2" max="2" width="11.6666666666667" customWidth="1"/>
    <col min="3" max="3" width="60.6083333333333" customWidth="1"/>
  </cols>
  <sheetData>
    <row r="1" spans="1:3">
      <c r="A1" t="s">
        <v>1971</v>
      </c>
      <c r="B1" t="s">
        <v>1972</v>
      </c>
      <c r="C1" t="s">
        <v>741</v>
      </c>
    </row>
    <row r="2" spans="1:3">
      <c r="A2" t="str">
        <f>'产品订单（暂不含工业物料，待更新物料编码及装运信息）'!K1</f>
        <v>越南黄天发贸易有限公司</v>
      </c>
      <c r="B2">
        <f>'产品订单（暂不含工业物料，待更新物料编码及装运信息）'!P1</f>
        <v>2141020110</v>
      </c>
      <c r="C2" t="str" cm="1">
        <f t="array" ref="C2:C3">_xlfn._xlws.FILTER(付款条款汇总!C:C,付款条款汇总!A:A=B2,"无支付条款")</f>
        <v>订单生效之日起3个工作日内，乙方应支付订单金额的【50】%作为预付款；自产品到达越南目的港/站后3个工作日内，乙方应支付订单金额剩余的全部款项。甲方将在收到订单100%款项后送货到乙方指定的收货地点。
Trong vòng 03 ngày làm việc kể từ ngày đơn hàng có hiệu lực, Bên Mua phải thanh toán 【50】% giá trị đơn hàng dưới hình thức tiền tạm ứng; trong vòng 03 ngày làm việc kể từ ngày sản phẩm đến cảng/ga đích tại Việt Nam, Bên Mua phải thanh toán toàn bộ số tiền còn lại của đơn hàng. Bên Bán sẽ giao hàng đến địa điểm nhận hàng do Bên Mua chỉ định sau khi nhận được 100% giá trị thanh toán của đơn hàng.</v>
      </c>
    </row>
    <row r="3" spans="3:3">
      <c r="C3" t="str">
        <v>自买方同意本确认书之日起3个工作日内，买方应以电汇方式向卖方支付上述“总值”的全部金额。卖方将在收到足额付款后的【7】个工作日内，安排从其在越南境内的RDC仓库发货。
Trong vòng 03 ngày làm việc kể từ ngày Bên Mua chấp thuận Bản Xác nhận này, Bên Mua phải thanh toán toàn bộ số tiền của "Tổng giá trị" nói trên cho Bên Bán bằng hình thức chuyển khoản bằng điện (T/T). Bên Bán sẽ sắp xếp xuất hàng từ kho RDC của mình tại Việt Nam trong vòng 【7】 ngày làm việc kể từ khi nhận được thanh toán đầy đủ.</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M133"/>
  <sheetViews>
    <sheetView view="pageBreakPreview" zoomScaleNormal="100" topLeftCell="A36" workbookViewId="0">
      <selection activeCell="D55" sqref="D55:E56"/>
    </sheetView>
  </sheetViews>
  <sheetFormatPr defaultColWidth="9" defaultRowHeight="15"/>
  <cols>
    <col min="1" max="2" width="9" style="6"/>
    <col min="3" max="3" width="6.775" style="7" customWidth="1"/>
    <col min="4" max="4" width="22.125" style="7" customWidth="1"/>
    <col min="5" max="5" width="11.8833333333333" style="6"/>
    <col min="6" max="6" width="34.5083333333333" style="6" customWidth="1"/>
    <col min="7" max="7" width="18.05" style="6" customWidth="1"/>
    <col min="8" max="9" width="9" style="6"/>
    <col min="10" max="10" width="27.2083333333333" style="6" customWidth="1"/>
    <col min="11" max="16384" width="9" style="6"/>
  </cols>
  <sheetData>
    <row r="1" ht="18.75" spans="3:10">
      <c r="C1" s="8" t="s">
        <v>2054</v>
      </c>
      <c r="D1" s="9"/>
      <c r="E1" s="9"/>
      <c r="F1" s="9"/>
      <c r="G1" s="9"/>
      <c r="H1" s="9"/>
      <c r="I1" s="9"/>
      <c r="J1" s="9"/>
    </row>
    <row r="2" ht="18.75" spans="3:10">
      <c r="C2" s="9" t="s">
        <v>2055</v>
      </c>
      <c r="D2" s="9"/>
      <c r="E2" s="9"/>
      <c r="F2" s="9"/>
      <c r="G2" s="9"/>
      <c r="H2" s="9"/>
      <c r="I2" s="9"/>
      <c r="J2" s="9"/>
    </row>
    <row r="3" spans="3:7">
      <c r="C3" s="10"/>
      <c r="D3" s="10"/>
      <c r="E3" s="11"/>
      <c r="F3" s="11"/>
      <c r="G3" s="11"/>
    </row>
    <row r="4" spans="3:7">
      <c r="C4" s="6"/>
      <c r="D4" s="6"/>
      <c r="F4" s="12"/>
      <c r="G4" s="12" t="str">
        <f>"编号："&amp;'产品订单（暂不含工业物料，待更新物料编码及装运信息）'!G2</f>
        <v>编号：20261001001</v>
      </c>
    </row>
    <row r="5" spans="3:7">
      <c r="C5" s="6"/>
      <c r="D5" s="6"/>
      <c r="G5" s="6" t="str">
        <f>"Số: "&amp;'产品订单（暂不含工业物料，待更新物料编码及装运信息）'!G2</f>
        <v>Số: 20261001001</v>
      </c>
    </row>
    <row r="6" ht="13.85" customHeight="1" spans="3:11">
      <c r="C6" s="6"/>
      <c r="D6" s="6"/>
      <c r="G6" s="6" t="str">
        <f>"日期："&amp;K7</f>
        <v>日期：2026年10月1日</v>
      </c>
      <c r="J6" s="39"/>
      <c r="K6" s="40" t="str">
        <f>TEXT('产品订单（暂不含工业物料，待更新物料编码及装运信息）'!G3,""" Ngày ""d"" Tháng ""M"" Năm ""yyyy")</f>
        <v> Ngày 1 Tháng 10 Năm 2026</v>
      </c>
    </row>
    <row r="7" ht="13.85" customHeight="1" spans="3:11">
      <c r="C7" s="6"/>
      <c r="D7" s="6"/>
      <c r="G7" s="6" t="str">
        <f>"Ngày: "&amp;K6</f>
        <v>Ngày:  Ngày 1 Tháng 10 Năm 2026</v>
      </c>
      <c r="K7" s="6" t="str">
        <f>TEXT('产品订单（暂不含工业物料，待更新物料编码及装运信息）'!G3,"yyyy年m月d日")</f>
        <v>2026年10月1日</v>
      </c>
    </row>
    <row r="8" spans="3:11">
      <c r="C8" s="6"/>
      <c r="D8" s="6"/>
      <c r="G8" s="6" t="str">
        <f>"签约地："&amp;K8</f>
        <v>签约地：胡志明市，越南</v>
      </c>
      <c r="K8" s="41" t="s">
        <v>2056</v>
      </c>
    </row>
    <row r="9" spans="3:11">
      <c r="C9" s="6"/>
      <c r="D9" s="6"/>
      <c r="G9" s="6" t="str">
        <f>"Nơi ký: "&amp;K9</f>
        <v>Nơi ký: Thành phố Hồ Chí Minh, Việt Nam.</v>
      </c>
      <c r="K9" s="6" t="s">
        <v>1982</v>
      </c>
    </row>
    <row r="10" spans="3:4">
      <c r="C10" s="6"/>
      <c r="D10" s="6"/>
    </row>
    <row r="11" spans="3:6">
      <c r="C11" s="13" t="s">
        <v>1983</v>
      </c>
      <c r="D11" s="13"/>
      <c r="E11" s="13"/>
      <c r="F11" s="13"/>
    </row>
    <row r="12" ht="13.5" customHeight="1" spans="3:6">
      <c r="C12" s="13" t="s">
        <v>1985</v>
      </c>
      <c r="D12" s="13"/>
      <c r="E12" s="13"/>
      <c r="F12" s="13"/>
    </row>
    <row r="13" ht="13.5" customHeight="1" spans="3:4">
      <c r="C13" s="6" t="s">
        <v>1986</v>
      </c>
      <c r="D13" s="6"/>
    </row>
    <row r="14" ht="14.25" customHeight="1" spans="3:4">
      <c r="C14" s="6" t="s">
        <v>1987</v>
      </c>
      <c r="D14" s="6"/>
    </row>
    <row r="15" ht="14.25" customHeight="1" spans="3:4">
      <c r="C15" s="6" t="s">
        <v>1988</v>
      </c>
      <c r="D15" s="6"/>
    </row>
    <row r="16" ht="14.25" customHeight="1" spans="3:4">
      <c r="C16" s="6" t="s">
        <v>1989</v>
      </c>
      <c r="D16" s="6"/>
    </row>
    <row r="17" spans="3:4">
      <c r="C17" s="6" t="s">
        <v>2057</v>
      </c>
      <c r="D17" s="6"/>
    </row>
    <row r="18" spans="3:4">
      <c r="C18" s="6" t="s">
        <v>1991</v>
      </c>
      <c r="D18" s="6"/>
    </row>
    <row r="19" spans="3:4">
      <c r="C19" s="6" t="s">
        <v>2058</v>
      </c>
      <c r="D19" s="6"/>
    </row>
    <row r="20" ht="14.25" customHeight="1" spans="3:4">
      <c r="C20" s="6" t="s">
        <v>1993</v>
      </c>
      <c r="D20" s="6"/>
    </row>
    <row r="21" ht="14.25" customHeight="1" spans="3:4">
      <c r="C21" s="6" t="s">
        <v>1994</v>
      </c>
      <c r="D21" s="6"/>
    </row>
    <row r="22" ht="13.5" customHeight="1" spans="3:4">
      <c r="C22" s="6" t="s">
        <v>1995</v>
      </c>
      <c r="D22" s="6"/>
    </row>
    <row r="23" ht="13.5" customHeight="1" spans="3:4">
      <c r="C23" s="6"/>
      <c r="D23" s="6"/>
    </row>
    <row r="24" ht="13.5" customHeight="1" spans="3:4">
      <c r="C24" s="13" t="str">
        <f>"乙方（“买方”）："&amp;'产品订单（暂不含工业物料，待更新物料编码及装运信息）'!K1</f>
        <v>乙方（“买方”）：越南黄天发贸易有限公司</v>
      </c>
      <c r="D24" s="6"/>
    </row>
    <row r="25" ht="13.5" customHeight="1" spans="3:4">
      <c r="C25" s="13" t="str">
        <f>"Bên A ("&amp;"Bên Bán"&amp;"): "&amp;'产品订单（暂不含工业物料，待更新物料编码及装运信息）'!K2</f>
        <v>Bên A (Bên Bán): CÔNG TY TNHH THƯƠNG MẠI HOÀNG THIÊN PHÁT</v>
      </c>
      <c r="D25" s="6"/>
    </row>
    <row r="26" ht="13.5" customHeight="1" spans="3:4">
      <c r="C26" s="6" t="str">
        <f>"税号："&amp;'产品订单（暂不含工业物料，待更新物料编码及装运信息）'!P2</f>
        <v>税号：0316353410</v>
      </c>
      <c r="D26" s="6"/>
    </row>
    <row r="27" ht="13.5" customHeight="1" spans="3:4">
      <c r="C27" s="6" t="str">
        <f>"Mã số thuế: "&amp;'产品订单（暂不含工业物料，待更新物料编码及装运信息）'!P2</f>
        <v>Mã số thuế: 0316353410</v>
      </c>
      <c r="D27" s="6"/>
    </row>
    <row r="28" ht="13.5" customHeight="1" spans="3:11">
      <c r="C28" s="6" t="str">
        <f>"地址："&amp;'产品订单（暂不含工业物料，待更新物料编码及装运信息）'!S5</f>
        <v>地址：越南胡志明市平盛郡潘文治路387号</v>
      </c>
      <c r="D28" s="6"/>
      <c r="K28" s="41" t="s">
        <v>2059</v>
      </c>
    </row>
    <row r="29" ht="13.5" customHeight="1" spans="3:4">
      <c r="C29" s="6" t="str">
        <f>"Địa chỉ: "&amp;'产品订单（暂不含工业物料，待更新物料编码及装运信息）'!K3</f>
        <v>Địa chỉ: 387 Phan Văn Trị, Phường Bình Lợi Trung, TP Hồ Chí Minh, Việt Nam.</v>
      </c>
      <c r="D29" s="6"/>
    </row>
    <row r="30" ht="13.5" customHeight="1" spans="3:4">
      <c r="C30" s="6" t="str">
        <f>"代表人："&amp;'产品订单（暂不含工业物料，待更新物料编码及装运信息）'!P4</f>
        <v>代表人：陈明黄</v>
      </c>
      <c r="D30" s="6"/>
    </row>
    <row r="31" ht="13.5" customHeight="1" spans="3:4">
      <c r="C31" s="6" t="str">
        <f>"Người đại diện: "&amp;'产品订单（暂不含工业物料，待更新物料编码及装运信息）'!P3</f>
        <v>Người đại diện: TRAN MINH HOANG</v>
      </c>
      <c r="D31" s="6"/>
    </row>
    <row r="32" ht="13.5" customHeight="1" spans="3:4">
      <c r="C32" s="6" t="str">
        <f>"职务："&amp;'产品订单（暂不含工业物料，待更新物料编码及装运信息）'!P6</f>
        <v>职务：总经理</v>
      </c>
      <c r="D32" s="6"/>
    </row>
    <row r="33" ht="13.5" customHeight="1" spans="3:4">
      <c r="C33" s="6" t="str">
        <f>"Chức vụ: "&amp;'产品订单（暂不含工业物料，待更新物料编码及装运信息）'!P5</f>
        <v>Chức vụ: TỔNG GIÁM ĐỐC</v>
      </c>
      <c r="D33" s="6"/>
    </row>
    <row r="34" ht="13.5" customHeight="1" spans="3:4">
      <c r="C34" s="6" t="str">
        <f>"电话："&amp;'产品订单（暂不含工业物料，待更新物料编码及装运信息）'!K4</f>
        <v>电话：0939368123</v>
      </c>
      <c r="D34" s="6"/>
    </row>
    <row r="35" ht="13.5" customHeight="1" spans="3:4">
      <c r="C35" s="6" t="str">
        <f>"Điện thoại: "&amp;'产品订单（暂不含工业物料，待更新物料编码及装运信息）'!K4</f>
        <v>Điện thoại: 0939368123</v>
      </c>
      <c r="D35" s="6"/>
    </row>
    <row r="36" ht="13.5" customHeight="1" spans="3:4">
      <c r="C36" s="6"/>
      <c r="D36" s="6"/>
    </row>
    <row r="37" ht="13.5" customHeight="1" spans="3:4">
      <c r="C37" s="14" t="s">
        <v>2060</v>
      </c>
      <c r="D37" s="6"/>
    </row>
    <row r="38" ht="13.5" customHeight="1" spans="3:4">
      <c r="C38" s="14" t="s">
        <v>2061</v>
      </c>
      <c r="D38" s="6"/>
    </row>
    <row r="39" ht="13.5" customHeight="1" spans="3:4">
      <c r="C39" s="14"/>
      <c r="D39" s="6"/>
    </row>
    <row r="40" ht="13.5" customHeight="1" spans="3:4">
      <c r="C40" s="13" t="s">
        <v>2062</v>
      </c>
      <c r="D40" s="6"/>
    </row>
    <row r="41" ht="13.5" customHeight="1" spans="3:4">
      <c r="C41" s="13" t="s">
        <v>2063</v>
      </c>
      <c r="D41" s="6"/>
    </row>
    <row r="42" ht="42.75" spans="3:11">
      <c r="C42" s="15" t="s">
        <v>2064</v>
      </c>
      <c r="D42" s="16" t="s">
        <v>2065</v>
      </c>
      <c r="E42" s="17"/>
      <c r="F42" s="16" t="s">
        <v>2066</v>
      </c>
      <c r="G42" s="16" t="s">
        <v>2067</v>
      </c>
      <c r="H42" s="17"/>
      <c r="I42" s="42"/>
      <c r="J42" s="43" t="s">
        <v>2068</v>
      </c>
      <c r="K42" s="41" t="s">
        <v>2069</v>
      </c>
    </row>
    <row r="43" spans="3:11">
      <c r="C43" s="18">
        <v>1</v>
      </c>
      <c r="D43" s="19" t="s">
        <v>2070</v>
      </c>
      <c r="E43" s="20"/>
      <c r="F43" s="21">
        <f>'产品订单（暂不含工业物料，待更新物料编码及装运信息）'!Q127</f>
        <v>7521200</v>
      </c>
      <c r="G43" s="22"/>
      <c r="H43" s="22"/>
      <c r="I43" s="44"/>
      <c r="J43" s="45">
        <f>F43*1.08</f>
        <v>8122896</v>
      </c>
      <c r="K43" s="41" t="s">
        <v>2071</v>
      </c>
    </row>
    <row r="44" spans="3:10">
      <c r="C44" s="18"/>
      <c r="D44" s="23"/>
      <c r="E44" s="24"/>
      <c r="F44" s="21"/>
      <c r="G44" s="22"/>
      <c r="H44" s="22"/>
      <c r="I44" s="44"/>
      <c r="J44" s="45">
        <f t="shared" ref="J44:J56" si="0">F44*1.08</f>
        <v>0</v>
      </c>
    </row>
    <row r="45" spans="3:11">
      <c r="C45" s="18">
        <v>2</v>
      </c>
      <c r="D45" s="25" t="s">
        <v>2072</v>
      </c>
      <c r="E45" s="26"/>
      <c r="F45" s="21"/>
      <c r="G45" s="22"/>
      <c r="H45" s="22"/>
      <c r="I45" s="44"/>
      <c r="J45" s="45">
        <f t="shared" si="0"/>
        <v>0</v>
      </c>
      <c r="K45" s="41" t="s">
        <v>2073</v>
      </c>
    </row>
    <row r="46" spans="3:10">
      <c r="C46" s="18"/>
      <c r="D46" s="27"/>
      <c r="E46" s="28"/>
      <c r="F46" s="21"/>
      <c r="G46" s="22"/>
      <c r="H46" s="22"/>
      <c r="I46" s="44"/>
      <c r="J46" s="45">
        <f t="shared" si="0"/>
        <v>0</v>
      </c>
    </row>
    <row r="47" spans="3:11">
      <c r="C47" s="18">
        <v>3</v>
      </c>
      <c r="D47" s="25" t="s">
        <v>2074</v>
      </c>
      <c r="E47" s="26"/>
      <c r="F47" s="21"/>
      <c r="G47" s="22"/>
      <c r="H47" s="22"/>
      <c r="I47" s="44"/>
      <c r="J47" s="45">
        <f t="shared" si="0"/>
        <v>0</v>
      </c>
      <c r="K47" s="41" t="s">
        <v>2075</v>
      </c>
    </row>
    <row r="48" spans="3:10">
      <c r="C48" s="18"/>
      <c r="D48" s="27"/>
      <c r="E48" s="28"/>
      <c r="F48" s="21"/>
      <c r="G48" s="22"/>
      <c r="H48" s="22"/>
      <c r="I48" s="44"/>
      <c r="J48" s="45">
        <f t="shared" si="0"/>
        <v>0</v>
      </c>
    </row>
    <row r="49" spans="3:11">
      <c r="C49" s="18">
        <v>4</v>
      </c>
      <c r="D49" s="25" t="s">
        <v>2076</v>
      </c>
      <c r="E49" s="26"/>
      <c r="F49" s="21"/>
      <c r="G49" s="22"/>
      <c r="H49" s="22"/>
      <c r="I49" s="44"/>
      <c r="J49" s="45">
        <f t="shared" si="0"/>
        <v>0</v>
      </c>
      <c r="K49" s="41" t="s">
        <v>2077</v>
      </c>
    </row>
    <row r="50" spans="3:11">
      <c r="C50" s="18"/>
      <c r="D50" s="27"/>
      <c r="E50" s="28"/>
      <c r="F50" s="21"/>
      <c r="G50" s="22"/>
      <c r="H50" s="22"/>
      <c r="I50" s="44"/>
      <c r="J50" s="45">
        <f t="shared" si="0"/>
        <v>0</v>
      </c>
      <c r="K50" s="41"/>
    </row>
    <row r="51" spans="3:11">
      <c r="C51" s="18">
        <v>5</v>
      </c>
      <c r="D51" s="25" t="s">
        <v>2078</v>
      </c>
      <c r="E51" s="26"/>
      <c r="F51" s="21"/>
      <c r="G51" s="22"/>
      <c r="H51" s="22"/>
      <c r="I51" s="44"/>
      <c r="J51" s="45">
        <f t="shared" si="0"/>
        <v>0</v>
      </c>
      <c r="K51" s="41" t="s">
        <v>2077</v>
      </c>
    </row>
    <row r="52" spans="3:10">
      <c r="C52" s="18"/>
      <c r="D52" s="27"/>
      <c r="E52" s="28"/>
      <c r="F52" s="21"/>
      <c r="G52" s="22"/>
      <c r="H52" s="22"/>
      <c r="I52" s="44"/>
      <c r="J52" s="45">
        <f t="shared" si="0"/>
        <v>0</v>
      </c>
    </row>
    <row r="53" spans="3:10">
      <c r="C53" s="18">
        <v>6</v>
      </c>
      <c r="D53" s="29" t="s">
        <v>2079</v>
      </c>
      <c r="E53" s="26"/>
      <c r="F53" s="21"/>
      <c r="G53" s="22"/>
      <c r="H53" s="22"/>
      <c r="I53" s="44"/>
      <c r="J53" s="45">
        <f t="shared" si="0"/>
        <v>0</v>
      </c>
    </row>
    <row r="54" spans="3:10">
      <c r="C54" s="18"/>
      <c r="D54" s="27"/>
      <c r="E54" s="28"/>
      <c r="F54" s="21"/>
      <c r="G54" s="22"/>
      <c r="H54" s="22"/>
      <c r="I54" s="44"/>
      <c r="J54" s="45">
        <f t="shared" si="0"/>
        <v>0</v>
      </c>
    </row>
    <row r="55" spans="3:10">
      <c r="C55" s="30">
        <v>7</v>
      </c>
      <c r="D55" s="31" t="s">
        <v>2080</v>
      </c>
      <c r="E55" s="32"/>
      <c r="F55" s="33">
        <f>SUM(F43:F54)</f>
        <v>7521200</v>
      </c>
      <c r="G55" s="22"/>
      <c r="H55" s="22"/>
      <c r="I55" s="44"/>
      <c r="J55" s="45">
        <f t="shared" si="0"/>
        <v>8122896</v>
      </c>
    </row>
    <row r="56" ht="16" customHeight="1" spans="3:10">
      <c r="C56" s="34"/>
      <c r="D56" s="35"/>
      <c r="E56" s="36"/>
      <c r="F56" s="37"/>
      <c r="G56" s="38"/>
      <c r="H56" s="38"/>
      <c r="I56" s="46"/>
      <c r="J56" s="45">
        <f t="shared" si="0"/>
        <v>0</v>
      </c>
    </row>
    <row r="57" ht="13.5" customHeight="1" spans="10:11">
      <c r="J57" s="47">
        <f>F55/成交确认书!G89</f>
        <v>0.243929492273015</v>
      </c>
      <c r="K57" s="41" t="s">
        <v>2081</v>
      </c>
    </row>
    <row r="58" ht="13.5" customHeight="1" spans="10:11">
      <c r="J58" s="48" t="str">
        <f>IF(J57&gt;0.19,"超过预算比例，需特殊申请",IF(J57&gt;0.15,"需要警示","常规折扣"))</f>
        <v>超过预算比例，需特殊申请</v>
      </c>
      <c r="K58" s="41" t="s">
        <v>2082</v>
      </c>
    </row>
    <row r="59" ht="13.5" customHeight="1" spans="10:11">
      <c r="J59" s="48" t="str">
        <f>IF(OR(F55&gt;100000000,J57&gt;0.5),"需要工贸厅备案","无需备案")</f>
        <v>无需备案</v>
      </c>
      <c r="K59" s="41" t="s">
        <v>2083</v>
      </c>
    </row>
    <row r="60" ht="13.5" customHeight="1" spans="4:13">
      <c r="D60" s="7" t="s">
        <v>2084</v>
      </c>
      <c r="G60" s="6" t="s">
        <v>2085</v>
      </c>
      <c r="K60" s="41" t="s">
        <v>2086</v>
      </c>
      <c r="M60" s="41" t="s">
        <v>2087</v>
      </c>
    </row>
    <row r="61" spans="4:7">
      <c r="D61" s="7" t="s">
        <v>2046</v>
      </c>
      <c r="G61" s="6" t="s">
        <v>2047</v>
      </c>
    </row>
    <row r="62" spans="4:7">
      <c r="D62" s="7" t="s">
        <v>2088</v>
      </c>
      <c r="G62" s="6" t="s">
        <v>2088</v>
      </c>
    </row>
    <row r="63" spans="4:7">
      <c r="D63" s="7" t="s">
        <v>2049</v>
      </c>
      <c r="G63" s="6" t="s">
        <v>2049</v>
      </c>
    </row>
    <row r="65" spans="4:7">
      <c r="D65" s="7" t="s">
        <v>2089</v>
      </c>
      <c r="G65" s="6" t="s">
        <v>2089</v>
      </c>
    </row>
    <row r="66" spans="4:7">
      <c r="D66" s="7" t="s">
        <v>2051</v>
      </c>
      <c r="G66" s="6" t="s">
        <v>2051</v>
      </c>
    </row>
    <row r="68" spans="3:4">
      <c r="C68" s="6"/>
      <c r="D68" s="6"/>
    </row>
    <row r="69" spans="3:4">
      <c r="C69" s="6"/>
      <c r="D69" s="6"/>
    </row>
    <row r="70" spans="3:4">
      <c r="C70" s="6"/>
      <c r="D70" s="6"/>
    </row>
    <row r="71" spans="3:4">
      <c r="C71" s="6"/>
      <c r="D71" s="6"/>
    </row>
    <row r="72" spans="3:4">
      <c r="C72" s="6"/>
      <c r="D72" s="6"/>
    </row>
    <row r="73" spans="3:4">
      <c r="C73" s="6"/>
      <c r="D73" s="6"/>
    </row>
    <row r="74" spans="3:4">
      <c r="C74" s="6"/>
      <c r="D74" s="6"/>
    </row>
    <row r="75" spans="3:4">
      <c r="C75" s="6"/>
      <c r="D75" s="6"/>
    </row>
    <row r="76" spans="3:4">
      <c r="C76" s="6"/>
      <c r="D76" s="6"/>
    </row>
    <row r="77" spans="3:4">
      <c r="C77" s="6"/>
      <c r="D77" s="6"/>
    </row>
    <row r="78" spans="3:4">
      <c r="C78" s="6"/>
      <c r="D78" s="6"/>
    </row>
    <row r="79" spans="3:4">
      <c r="C79" s="6"/>
      <c r="D79" s="6"/>
    </row>
    <row r="80" spans="3:4">
      <c r="C80" s="6"/>
      <c r="D80" s="6"/>
    </row>
    <row r="81" spans="3:4">
      <c r="C81" s="6"/>
      <c r="D81" s="6"/>
    </row>
    <row r="82" spans="3:4">
      <c r="C82" s="6"/>
      <c r="D82" s="6"/>
    </row>
    <row r="83" spans="3:4">
      <c r="C83" s="6"/>
      <c r="D83" s="6"/>
    </row>
    <row r="84" spans="3:4">
      <c r="C84" s="6"/>
      <c r="D84" s="6"/>
    </row>
    <row r="85" spans="3:4">
      <c r="C85" s="6"/>
      <c r="D85" s="6"/>
    </row>
    <row r="86" spans="3:4">
      <c r="C86" s="6"/>
      <c r="D86" s="6"/>
    </row>
    <row r="87" spans="3:4">
      <c r="C87" s="6"/>
      <c r="D87" s="6"/>
    </row>
    <row r="88" spans="3:4">
      <c r="C88" s="6"/>
      <c r="D88" s="6"/>
    </row>
    <row r="89" spans="3:4">
      <c r="C89" s="6"/>
      <c r="D89" s="6"/>
    </row>
    <row r="90" spans="3:4">
      <c r="C90" s="6"/>
      <c r="D90" s="6"/>
    </row>
    <row r="91" spans="3:4">
      <c r="C91" s="6"/>
      <c r="D91" s="6"/>
    </row>
    <row r="92" spans="3:4">
      <c r="C92" s="6"/>
      <c r="D92" s="6"/>
    </row>
    <row r="93" spans="3:4">
      <c r="C93" s="6"/>
      <c r="D93" s="6"/>
    </row>
    <row r="94" spans="3:4">
      <c r="C94" s="6"/>
      <c r="D94" s="6"/>
    </row>
    <row r="95" spans="3:4">
      <c r="C95" s="6"/>
      <c r="D95" s="6"/>
    </row>
    <row r="96" spans="3:4">
      <c r="C96" s="6"/>
      <c r="D96" s="6"/>
    </row>
    <row r="97" spans="3:4">
      <c r="C97" s="6"/>
      <c r="D97" s="6"/>
    </row>
    <row r="98" spans="3:4">
      <c r="C98" s="6"/>
      <c r="D98" s="6"/>
    </row>
    <row r="99" spans="3:4">
      <c r="C99" s="6"/>
      <c r="D99" s="6"/>
    </row>
    <row r="100" spans="3:4">
      <c r="C100" s="6"/>
      <c r="D100" s="6"/>
    </row>
    <row r="101" spans="3:4">
      <c r="C101" s="6"/>
      <c r="D101" s="6"/>
    </row>
    <row r="102" spans="3:4">
      <c r="C102" s="6"/>
      <c r="D102" s="6"/>
    </row>
    <row r="103" spans="3:4">
      <c r="C103" s="6"/>
      <c r="D103" s="6"/>
    </row>
    <row r="104" spans="3:4">
      <c r="C104" s="6"/>
      <c r="D104" s="6"/>
    </row>
    <row r="105" spans="3:4">
      <c r="C105" s="6"/>
      <c r="D105" s="6"/>
    </row>
    <row r="106" spans="3:4">
      <c r="C106" s="6"/>
      <c r="D106" s="6"/>
    </row>
    <row r="107" spans="3:4">
      <c r="C107" s="6"/>
      <c r="D107" s="6"/>
    </row>
    <row r="108" spans="3:4">
      <c r="C108" s="6"/>
      <c r="D108" s="6"/>
    </row>
    <row r="109" spans="3:4">
      <c r="C109" s="6"/>
      <c r="D109" s="6"/>
    </row>
    <row r="110" spans="3:4">
      <c r="C110" s="6"/>
      <c r="D110" s="6"/>
    </row>
    <row r="111" spans="3:4">
      <c r="C111" s="6"/>
      <c r="D111" s="6"/>
    </row>
    <row r="112" spans="3:4">
      <c r="C112" s="6"/>
      <c r="D112" s="6"/>
    </row>
    <row r="113" spans="3:4">
      <c r="C113" s="6"/>
      <c r="D113" s="6"/>
    </row>
    <row r="114" spans="3:4">
      <c r="C114" s="6"/>
      <c r="D114" s="6"/>
    </row>
    <row r="115" spans="3:4">
      <c r="C115" s="6"/>
      <c r="D115" s="6"/>
    </row>
    <row r="116" spans="3:4">
      <c r="C116" s="6"/>
      <c r="D116" s="6"/>
    </row>
    <row r="117" spans="3:4">
      <c r="C117" s="6"/>
      <c r="D117" s="6"/>
    </row>
    <row r="118" spans="3:4">
      <c r="C118" s="6"/>
      <c r="D118" s="6"/>
    </row>
    <row r="119" spans="3:4">
      <c r="C119" s="6"/>
      <c r="D119" s="6"/>
    </row>
    <row r="120" spans="3:4">
      <c r="C120" s="6"/>
      <c r="D120" s="6"/>
    </row>
    <row r="121" spans="3:4">
      <c r="C121" s="6"/>
      <c r="D121" s="6"/>
    </row>
    <row r="122" spans="3:4">
      <c r="C122" s="6"/>
      <c r="D122" s="6"/>
    </row>
    <row r="123" spans="3:4">
      <c r="C123" s="6"/>
      <c r="D123" s="6"/>
    </row>
    <row r="124" spans="3:4">
      <c r="C124" s="6"/>
      <c r="D124" s="6"/>
    </row>
    <row r="125" spans="3:4">
      <c r="C125" s="6"/>
      <c r="D125" s="6"/>
    </row>
    <row r="126" spans="3:4">
      <c r="C126" s="6"/>
      <c r="D126" s="6"/>
    </row>
    <row r="127" spans="3:4">
      <c r="C127" s="6"/>
      <c r="D127" s="6"/>
    </row>
    <row r="128" spans="3:4">
      <c r="C128" s="6"/>
      <c r="D128" s="6"/>
    </row>
    <row r="129" spans="3:4">
      <c r="C129" s="6"/>
      <c r="D129" s="6"/>
    </row>
    <row r="130" spans="3:4">
      <c r="C130" s="6"/>
      <c r="D130" s="6"/>
    </row>
    <row r="131" spans="3:4">
      <c r="C131" s="6"/>
      <c r="D131" s="6"/>
    </row>
    <row r="132" spans="3:4">
      <c r="C132" s="6"/>
      <c r="D132" s="6"/>
    </row>
    <row r="133" spans="3:4">
      <c r="C133" s="6"/>
      <c r="D133" s="6"/>
    </row>
  </sheetData>
  <sheetProtection formatCells="0" formatColumns="0" formatRows="0" insertRows="0" insertColumns="0" insertHyperlinks="0" deleteColumns="0" deleteRows="0" sort="0" autoFilter="0" pivotTables="0"/>
  <mergeCells count="32">
    <mergeCell ref="C1:I1"/>
    <mergeCell ref="C2:I2"/>
    <mergeCell ref="D42:E42"/>
    <mergeCell ref="G42:I42"/>
    <mergeCell ref="C43:C44"/>
    <mergeCell ref="C45:C46"/>
    <mergeCell ref="C47:C48"/>
    <mergeCell ref="C49:C50"/>
    <mergeCell ref="C51:C52"/>
    <mergeCell ref="C53:C54"/>
    <mergeCell ref="C55:C56"/>
    <mergeCell ref="F43:F44"/>
    <mergeCell ref="F45:F46"/>
    <mergeCell ref="F47:F48"/>
    <mergeCell ref="F49:F50"/>
    <mergeCell ref="F51:F52"/>
    <mergeCell ref="F53:F54"/>
    <mergeCell ref="F55:F56"/>
    <mergeCell ref="G43:I44"/>
    <mergeCell ref="G45:I46"/>
    <mergeCell ref="G47:I48"/>
    <mergeCell ref="G49:I50"/>
    <mergeCell ref="G51:I52"/>
    <mergeCell ref="G53:I54"/>
    <mergeCell ref="G55:I56"/>
    <mergeCell ref="D43:E44"/>
    <mergeCell ref="D45:E46"/>
    <mergeCell ref="D47:E48"/>
    <mergeCell ref="D49:E50"/>
    <mergeCell ref="D51:E52"/>
    <mergeCell ref="D55:E56"/>
    <mergeCell ref="D53:E54"/>
  </mergeCells>
  <printOptions horizontalCentered="1"/>
  <pageMargins left="0.751388888888889" right="0.751388888888889" top="1" bottom="1" header="0.5" footer="0.5"/>
  <pageSetup paperSize="9" scale="73" orientation="portrait" horizontalDpi="600"/>
  <headerFooter/>
  <rowBreaks count="1" manualBreakCount="1">
    <brk id="67" max="8"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55"/>
  <sheetViews>
    <sheetView topLeftCell="A29" workbookViewId="0">
      <selection activeCell="Q57" sqref="Q57"/>
    </sheetView>
  </sheetViews>
  <sheetFormatPr defaultColWidth="9.025" defaultRowHeight="13.5" outlineLevelCol="7"/>
  <sheetData>
    <row r="2" spans="1:1">
      <c r="A2" t="s">
        <v>2090</v>
      </c>
    </row>
    <row r="4" spans="1:1">
      <c r="A4" t="s">
        <v>2091</v>
      </c>
    </row>
    <row r="6" spans="1:1">
      <c r="A6" t="s">
        <v>2092</v>
      </c>
    </row>
    <row r="8" spans="1:1">
      <c r="A8" t="s">
        <v>2093</v>
      </c>
    </row>
    <row r="9" spans="1:1">
      <c r="A9" t="s">
        <v>2094</v>
      </c>
    </row>
    <row r="11" spans="1:1">
      <c r="A11" s="1" t="s">
        <v>2095</v>
      </c>
    </row>
    <row r="12" spans="1:1">
      <c r="A12" t="s">
        <v>2096</v>
      </c>
    </row>
    <row r="13" spans="1:1">
      <c r="A13" t="s">
        <v>2097</v>
      </c>
    </row>
    <row r="14" spans="1:1">
      <c r="A14" t="s">
        <v>2098</v>
      </c>
    </row>
    <row r="15" spans="1:1">
      <c r="A15" t="s">
        <v>2099</v>
      </c>
    </row>
    <row r="16" spans="1:1">
      <c r="A16" t="s">
        <v>2100</v>
      </c>
    </row>
    <row r="17" spans="1:1">
      <c r="A17" t="s">
        <v>2101</v>
      </c>
    </row>
    <row r="18" spans="1:1">
      <c r="A18" t="s">
        <v>2102</v>
      </c>
    </row>
    <row r="20" spans="1:1">
      <c r="A20" t="s">
        <v>2103</v>
      </c>
    </row>
    <row r="21" spans="1:1">
      <c r="A21" t="s">
        <v>2104</v>
      </c>
    </row>
    <row r="22" spans="1:1">
      <c r="A22" s="2" t="s">
        <v>2105</v>
      </c>
    </row>
    <row r="23" spans="1:1">
      <c r="A23" s="2" t="s">
        <v>2106</v>
      </c>
    </row>
    <row r="24" spans="1:1">
      <c r="A24" s="2" t="s">
        <v>2107</v>
      </c>
    </row>
    <row r="26" spans="1:1">
      <c r="A26" t="s">
        <v>2108</v>
      </c>
    </row>
    <row r="27" spans="1:1">
      <c r="A27" t="s">
        <v>2109</v>
      </c>
    </row>
    <row r="28" spans="1:1">
      <c r="A28" t="s">
        <v>2110</v>
      </c>
    </row>
    <row r="29" spans="1:1">
      <c r="A29" t="s">
        <v>2111</v>
      </c>
    </row>
    <row r="30" spans="1:1">
      <c r="A30" t="s">
        <v>2112</v>
      </c>
    </row>
    <row r="31" spans="1:1">
      <c r="A31" t="s">
        <v>2113</v>
      </c>
    </row>
    <row r="33" spans="1:1">
      <c r="A33" t="s">
        <v>2114</v>
      </c>
    </row>
    <row r="35" spans="1:1">
      <c r="A35" t="s">
        <v>2115</v>
      </c>
    </row>
    <row r="36" spans="1:1">
      <c r="A36" t="s">
        <v>2116</v>
      </c>
    </row>
    <row r="37" spans="1:1">
      <c r="A37" t="s">
        <v>2117</v>
      </c>
    </row>
    <row r="38" spans="1:1">
      <c r="A38" t="s">
        <v>2118</v>
      </c>
    </row>
    <row r="39" spans="1:8">
      <c r="A39" t="s">
        <v>2119</v>
      </c>
      <c r="H39" s="3"/>
    </row>
    <row r="40" spans="1:1">
      <c r="A40" t="s">
        <v>2120</v>
      </c>
    </row>
    <row r="41" spans="1:8">
      <c r="A41" t="s">
        <v>2121</v>
      </c>
      <c r="H41" s="4"/>
    </row>
    <row r="42" spans="1:1">
      <c r="A42" t="s">
        <v>2122</v>
      </c>
    </row>
    <row r="43" spans="1:1">
      <c r="A43" s="2" t="s">
        <v>2123</v>
      </c>
    </row>
    <row r="44" spans="1:1">
      <c r="A44" s="2" t="s">
        <v>2124</v>
      </c>
    </row>
    <row r="45" spans="1:1">
      <c r="A45" s="2" t="s">
        <v>2125</v>
      </c>
    </row>
    <row r="47" spans="1:1">
      <c r="A47" t="s">
        <v>2126</v>
      </c>
    </row>
    <row r="49" spans="1:1">
      <c r="A49" t="s">
        <v>2127</v>
      </c>
    </row>
    <row r="50" spans="1:1">
      <c r="A50" t="s">
        <v>2128</v>
      </c>
    </row>
    <row r="51" spans="1:1">
      <c r="A51" s="5" t="s">
        <v>2129</v>
      </c>
    </row>
    <row r="52" spans="1:1">
      <c r="A52" s="5" t="s">
        <v>2130</v>
      </c>
    </row>
    <row r="53" spans="1:1">
      <c r="A53" s="5" t="s">
        <v>2131</v>
      </c>
    </row>
    <row r="55" spans="1:1">
      <c r="A55" t="s">
        <v>2132</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3" master="" otherUserPermission="edit"/>
  <rangeList sheetStid="5" master="" otherUserPermission="visible"/>
  <rangeList sheetStid="6" master="" otherUserPermission="edit"/>
  <rangeList sheetStid="14" master="" otherUserPermission="edit"/>
  <rangeList sheetStid="2" master="" otherUserPermission="visible"/>
  <rangeList sheetStid="21" master="" otherUserPermission="visible"/>
  <rangeList sheetStid="22" master="" otherUserPermission="visible"/>
  <rangeList sheetStid="17" master="" otherUserPermission="edit"/>
  <rangeList sheetStid="23" master="" otherUserPermission="visible"/>
  <rangeList sheetStid="25" master="" otherUserPermission="visible"/>
  <rangeList sheetStid="19" master="" otherUserPermission="edit"/>
  <rangeList sheetStid="26" master="" otherUserPermission="visible"/>
</allowEditUser>
</file>

<file path=customXml/item2.xml>��:y�O�tef��SЏ1u�Q�S%�Џ�[�c�O:y�O�/n�S+ �V�[
:y�O��Y�eЏ9���SNkX�b�kX000�Y�eVY�R��SNkX�b�kX000*g_eQN�~�~�FU�N<h�_�f�e�n v�� s�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12</vt:i4>
      </vt:variant>
    </vt:vector>
  </HeadingPairs>
  <TitlesOfParts>
    <vt:vector size="12" baseType="lpstr">
      <vt:lpstr>客户基础数据</vt:lpstr>
      <vt:lpstr>三品订单</vt:lpstr>
      <vt:lpstr>越南文大写金额计算</vt:lpstr>
      <vt:lpstr>付款条款参考</vt:lpstr>
      <vt:lpstr>产品订单（暂不含工业物料，待更新物料编码及装运信息）</vt:lpstr>
      <vt:lpstr>客户地址信息汇总</vt:lpstr>
      <vt:lpstr>客户地址筛选</vt:lpstr>
      <vt:lpstr>成交确认书</vt:lpstr>
      <vt:lpstr>付款条款汇总</vt:lpstr>
      <vt:lpstr>付款条款筛选</vt:lpstr>
      <vt:lpstr>成交确认书-附录</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Haday-Julie</cp:lastModifiedBy>
  <dcterms:created xsi:type="dcterms:W3CDTF">2026-05-28T02:46:00Z</dcterms:created>
  <dcterms:modified xsi:type="dcterms:W3CDTF">2026-07-17T08:30:18Z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403E93A13E954CA5ACC6DBF1F2ECB733_12</vt:lpwstr>
  </property>
  <property fmtid="{D5CDD505-2E9C-101B-9397-08002B2CF9AE}" pid="3" name="KSOProductBuildVer">
    <vt:lpwstr>2052-12.8.2.18913</vt:lpwstr>
  </property>
  <property fmtid="{D5CDD505-2E9C-101B-9397-08002B2CF9AE}" pid="4" name="CalculationRule">
    <vt:i4>0</vt:i4>
  </property>
</Properties>
</file>